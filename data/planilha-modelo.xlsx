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ISAS RENAN\FLUXO DE CAIXA - RENAN\"/>
    </mc:Choice>
  </mc:AlternateContent>
  <xr:revisionPtr revIDLastSave="0" documentId="13_ncr:1_{5FEB1617-16F6-4CBC-AF11-5230C1A669E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Inicio" sheetId="1" r:id="rId1"/>
    <sheet name="Dashboard" sheetId="2" r:id="rId2"/>
    <sheet name="Agenda" sheetId="3" r:id="rId3"/>
    <sheet name="Contas_Ago_Jan" sheetId="4" r:id="rId4"/>
    <sheet name="Cenarios" sheetId="5" r:id="rId5"/>
    <sheet name="Fluxo_Diario" sheetId="6" r:id="rId6"/>
    <sheet name="Fixos" sheetId="7" r:id="rId7"/>
    <sheet name="Emprestimos" sheetId="8" r:id="rId8"/>
    <sheet name="Cartoes" sheetId="9" r:id="rId9"/>
    <sheet name="Dash_Cartoes" sheetId="10" r:id="rId10"/>
    <sheet name="Prioridades" sheetId="11" r:id="rId11"/>
    <sheet name="Ranking" sheetId="12" r:id="rId12"/>
    <sheet name="Simulador" sheetId="13" r:id="rId13"/>
    <sheet name="Patrimonio" sheetId="14" r:id="rId14"/>
    <sheet name="Projecao" sheetId="15" r:id="rId15"/>
  </sheets>
  <definedNames>
    <definedName name="_xlnm._FilterDatabase" localSheetId="3" hidden="1">Contas_Ago_Jan!$A$4:$L$29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4" l="1"/>
  <c r="G30" i="4"/>
  <c r="F30" i="4"/>
  <c r="E30" i="4"/>
  <c r="D30" i="4"/>
  <c r="B25" i="15"/>
  <c r="E17" i="15"/>
  <c r="B20" i="15" s="1"/>
  <c r="C17" i="15"/>
  <c r="B17" i="15"/>
  <c r="E16" i="15"/>
  <c r="D16" i="15"/>
  <c r="F16" i="15" s="1"/>
  <c r="F15" i="15"/>
  <c r="E15" i="15"/>
  <c r="D15" i="15"/>
  <c r="E14" i="15"/>
  <c r="D14" i="15"/>
  <c r="F14" i="15" s="1"/>
  <c r="F13" i="15"/>
  <c r="E13" i="15"/>
  <c r="D13" i="15"/>
  <c r="F12" i="15"/>
  <c r="E12" i="15"/>
  <c r="D12" i="15"/>
  <c r="F11" i="15"/>
  <c r="E11" i="15"/>
  <c r="D11" i="15"/>
  <c r="E10" i="15"/>
  <c r="D10" i="15"/>
  <c r="F10" i="15" s="1"/>
  <c r="F9" i="15"/>
  <c r="E9" i="15"/>
  <c r="D9" i="15"/>
  <c r="F8" i="15"/>
  <c r="E8" i="15"/>
  <c r="D8" i="15"/>
  <c r="F7" i="15"/>
  <c r="E7" i="15"/>
  <c r="D7" i="15"/>
  <c r="E6" i="15"/>
  <c r="D6" i="15"/>
  <c r="F6" i="15" s="1"/>
  <c r="F5" i="15"/>
  <c r="E5" i="15"/>
  <c r="D5" i="15"/>
  <c r="B34" i="14"/>
  <c r="B32" i="14"/>
  <c r="B20" i="14"/>
  <c r="B18" i="14"/>
  <c r="G12" i="14" s="1"/>
  <c r="B17" i="14"/>
  <c r="B16" i="14"/>
  <c r="B15" i="14"/>
  <c r="B14" i="14"/>
  <c r="F13" i="14"/>
  <c r="F12" i="14"/>
  <c r="G11" i="14"/>
  <c r="F11" i="14"/>
  <c r="G10" i="14"/>
  <c r="F10" i="14"/>
  <c r="B10" i="14"/>
  <c r="G2" i="14" s="1"/>
  <c r="G9" i="14"/>
  <c r="F9" i="14"/>
  <c r="G8" i="14"/>
  <c r="F8" i="14"/>
  <c r="F16" i="13"/>
  <c r="E16" i="13"/>
  <c r="F15" i="13"/>
  <c r="E15" i="13"/>
  <c r="F14" i="13"/>
  <c r="E14" i="13"/>
  <c r="F13" i="13"/>
  <c r="E13" i="13"/>
  <c r="B9" i="13"/>
  <c r="B7" i="13"/>
  <c r="B8" i="13" s="1"/>
  <c r="G9" i="12"/>
  <c r="E9" i="12"/>
  <c r="C9" i="12"/>
  <c r="G8" i="12"/>
  <c r="E8" i="12"/>
  <c r="C8" i="12"/>
  <c r="G7" i="12"/>
  <c r="F7" i="12"/>
  <c r="C7" i="12"/>
  <c r="E7" i="12" s="1"/>
  <c r="F6" i="12"/>
  <c r="G6" i="12" s="1"/>
  <c r="C6" i="12"/>
  <c r="E6" i="12" s="1"/>
  <c r="B14" i="11"/>
  <c r="B13" i="11"/>
  <c r="B12" i="11"/>
  <c r="I2" i="11" s="1"/>
  <c r="C14" i="10"/>
  <c r="B14" i="10"/>
  <c r="A14" i="10"/>
  <c r="C13" i="10"/>
  <c r="B13" i="10"/>
  <c r="A13" i="10"/>
  <c r="C12" i="10"/>
  <c r="B12" i="10"/>
  <c r="A12" i="10"/>
  <c r="C11" i="10"/>
  <c r="B11" i="10"/>
  <c r="A11" i="10"/>
  <c r="C10" i="10"/>
  <c r="B10" i="10"/>
  <c r="A10" i="10"/>
  <c r="C9" i="10"/>
  <c r="B9" i="10"/>
  <c r="A9" i="10"/>
  <c r="C8" i="10"/>
  <c r="B8" i="10"/>
  <c r="A8" i="10"/>
  <c r="C7" i="10"/>
  <c r="B7" i="10"/>
  <c r="A7" i="10"/>
  <c r="C6" i="10"/>
  <c r="B6" i="10"/>
  <c r="A6" i="10"/>
  <c r="C5" i="10"/>
  <c r="B5" i="10"/>
  <c r="A5" i="10"/>
  <c r="K36" i="9"/>
  <c r="J36" i="9"/>
  <c r="I36" i="9"/>
  <c r="H36" i="9"/>
  <c r="G36" i="9"/>
  <c r="F36" i="9"/>
  <c r="E36" i="9"/>
  <c r="D36" i="9"/>
  <c r="C36" i="9"/>
  <c r="B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K19" i="9"/>
  <c r="V3" i="9" s="1"/>
  <c r="B19" i="14" s="1"/>
  <c r="J19" i="9"/>
  <c r="V2" i="9" s="1"/>
  <c r="I19" i="9"/>
  <c r="D19" i="9"/>
  <c r="V5" i="9" s="1"/>
  <c r="B36" i="10" s="1"/>
  <c r="C19" i="9"/>
  <c r="H18" i="9"/>
  <c r="F18" i="9"/>
  <c r="L18" i="9" s="1"/>
  <c r="E18" i="9"/>
  <c r="H17" i="9"/>
  <c r="F17" i="9"/>
  <c r="L17" i="9" s="1"/>
  <c r="E17" i="9"/>
  <c r="H16" i="9"/>
  <c r="F16" i="9"/>
  <c r="L16" i="9" s="1"/>
  <c r="E16" i="9"/>
  <c r="H15" i="9"/>
  <c r="F15" i="9"/>
  <c r="L15" i="9" s="1"/>
  <c r="G14" i="10" s="1"/>
  <c r="E15" i="9"/>
  <c r="D14" i="10" s="1"/>
  <c r="H14" i="9"/>
  <c r="F14" i="9"/>
  <c r="E13" i="10" s="1"/>
  <c r="F13" i="10" s="1"/>
  <c r="E14" i="9"/>
  <c r="D13" i="10" s="1"/>
  <c r="H13" i="9"/>
  <c r="F13" i="9"/>
  <c r="E12" i="10" s="1"/>
  <c r="F12" i="10" s="1"/>
  <c r="E13" i="9"/>
  <c r="D12" i="10" s="1"/>
  <c r="H12" i="9"/>
  <c r="F12" i="9"/>
  <c r="L12" i="9" s="1"/>
  <c r="G11" i="10" s="1"/>
  <c r="E12" i="9"/>
  <c r="D11" i="10" s="1"/>
  <c r="H11" i="9"/>
  <c r="F11" i="9"/>
  <c r="E10" i="10" s="1"/>
  <c r="F10" i="10" s="1"/>
  <c r="E11" i="9"/>
  <c r="D10" i="10" s="1"/>
  <c r="L10" i="9"/>
  <c r="G9" i="10" s="1"/>
  <c r="H10" i="9"/>
  <c r="F10" i="9"/>
  <c r="E9" i="10" s="1"/>
  <c r="F9" i="10" s="1"/>
  <c r="E10" i="9"/>
  <c r="D9" i="10" s="1"/>
  <c r="H9" i="9"/>
  <c r="F9" i="9"/>
  <c r="E8" i="10" s="1"/>
  <c r="F8" i="10" s="1"/>
  <c r="E9" i="9"/>
  <c r="D8" i="10" s="1"/>
  <c r="H8" i="9"/>
  <c r="F8" i="9"/>
  <c r="E7" i="10" s="1"/>
  <c r="F7" i="10" s="1"/>
  <c r="E8" i="9"/>
  <c r="D7" i="10" s="1"/>
  <c r="H7" i="9"/>
  <c r="F7" i="9"/>
  <c r="E6" i="10" s="1"/>
  <c r="F6" i="10" s="1"/>
  <c r="E7" i="9"/>
  <c r="D6" i="10" s="1"/>
  <c r="H6" i="9"/>
  <c r="F6" i="9"/>
  <c r="L6" i="9" s="1"/>
  <c r="G5" i="10" s="1"/>
  <c r="E6" i="9"/>
  <c r="V4" i="9"/>
  <c r="B35" i="10" s="1"/>
  <c r="E40" i="8"/>
  <c r="C14" i="8" s="1"/>
  <c r="D40" i="8"/>
  <c r="H29" i="8"/>
  <c r="H28" i="8"/>
  <c r="I7" i="8" s="1"/>
  <c r="D5" i="11" s="1"/>
  <c r="B24" i="8"/>
  <c r="B24" i="14" s="1"/>
  <c r="D18" i="8"/>
  <c r="B18" i="8"/>
  <c r="C10" i="8"/>
  <c r="B10" i="8"/>
  <c r="I2" i="8" s="1"/>
  <c r="I4" i="8" s="1"/>
  <c r="D9" i="8"/>
  <c r="D8" i="8"/>
  <c r="D7" i="8"/>
  <c r="I6" i="8"/>
  <c r="D6" i="8"/>
  <c r="I3" i="8"/>
  <c r="C21" i="7"/>
  <c r="L4" i="7" s="1"/>
  <c r="C20" i="7"/>
  <c r="L3" i="7" s="1"/>
  <c r="C19" i="7"/>
  <c r="L2" i="7" s="1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38" i="6"/>
  <c r="C38" i="6"/>
  <c r="J7" i="6" s="1"/>
  <c r="E5" i="2" s="1"/>
  <c r="B7" i="6"/>
  <c r="E7" i="6" s="1"/>
  <c r="J6" i="6"/>
  <c r="J4" i="6"/>
  <c r="B4" i="6"/>
  <c r="G18" i="5"/>
  <c r="F18" i="5"/>
  <c r="C18" i="5"/>
  <c r="B18" i="5"/>
  <c r="F16" i="5"/>
  <c r="D16" i="5"/>
  <c r="F15" i="5"/>
  <c r="D15" i="5"/>
  <c r="F14" i="5"/>
  <c r="E5" i="5"/>
  <c r="B5" i="5"/>
  <c r="B10" i="5" s="1"/>
  <c r="C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C41" i="3"/>
  <c r="E40" i="3"/>
  <c r="A40" i="3"/>
  <c r="E39" i="3"/>
  <c r="A39" i="3"/>
  <c r="E38" i="3"/>
  <c r="A38" i="3"/>
  <c r="E37" i="3"/>
  <c r="A37" i="3"/>
  <c r="E36" i="3"/>
  <c r="A36" i="3"/>
  <c r="E35" i="3"/>
  <c r="A35" i="3"/>
  <c r="A31" i="3"/>
  <c r="E31" i="3" s="1"/>
  <c r="A30" i="3"/>
  <c r="E30" i="3" s="1"/>
  <c r="E29" i="3"/>
  <c r="A29" i="3"/>
  <c r="A28" i="3"/>
  <c r="E28" i="3" s="1"/>
  <c r="A27" i="3"/>
  <c r="E26" i="3"/>
  <c r="A26" i="3"/>
  <c r="E25" i="3"/>
  <c r="A25" i="3"/>
  <c r="A24" i="3"/>
  <c r="E24" i="3" s="1"/>
  <c r="E23" i="3"/>
  <c r="A23" i="3"/>
  <c r="E22" i="3"/>
  <c r="A22" i="3"/>
  <c r="E21" i="3"/>
  <c r="A21" i="3"/>
  <c r="E20" i="3"/>
  <c r="A20" i="3"/>
  <c r="E19" i="3"/>
  <c r="A19" i="3"/>
  <c r="E18" i="3"/>
  <c r="A18" i="3"/>
  <c r="E17" i="3"/>
  <c r="A17" i="3"/>
  <c r="E16" i="3"/>
  <c r="A16" i="3"/>
  <c r="E15" i="3"/>
  <c r="A15" i="3"/>
  <c r="E14" i="3"/>
  <c r="A14" i="3"/>
  <c r="E13" i="3"/>
  <c r="A13" i="3"/>
  <c r="E12" i="3"/>
  <c r="A12" i="3"/>
  <c r="B26" i="1" s="1"/>
  <c r="E11" i="3"/>
  <c r="A11" i="3"/>
  <c r="D25" i="1" s="1"/>
  <c r="E10" i="3"/>
  <c r="A10" i="3"/>
  <c r="B24" i="1" s="1"/>
  <c r="E9" i="3"/>
  <c r="A9" i="3"/>
  <c r="C23" i="1" s="1"/>
  <c r="E8" i="3"/>
  <c r="A8" i="3"/>
  <c r="C22" i="1" s="1"/>
  <c r="E7" i="3"/>
  <c r="A7" i="3"/>
  <c r="D21" i="1" s="1"/>
  <c r="E6" i="3"/>
  <c r="A6" i="3"/>
  <c r="E20" i="1" s="1"/>
  <c r="E5" i="3"/>
  <c r="A5" i="3"/>
  <c r="A19" i="1" s="1"/>
  <c r="B3" i="3"/>
  <c r="E27" i="3" s="1"/>
  <c r="C36" i="2"/>
  <c r="C35" i="2"/>
  <c r="C34" i="2"/>
  <c r="C33" i="2"/>
  <c r="C32" i="2"/>
  <c r="C31" i="2"/>
  <c r="C30" i="2"/>
  <c r="C29" i="2"/>
  <c r="C28" i="2"/>
  <c r="C27" i="2"/>
  <c r="C26" i="2"/>
  <c r="C25" i="2"/>
  <c r="C9" i="2"/>
  <c r="C5" i="2"/>
  <c r="A5" i="2"/>
  <c r="C26" i="1"/>
  <c r="A26" i="1"/>
  <c r="E25" i="1"/>
  <c r="C25" i="1"/>
  <c r="B25" i="1"/>
  <c r="A25" i="1"/>
  <c r="D24" i="1"/>
  <c r="C24" i="1"/>
  <c r="A24" i="1"/>
  <c r="E22" i="1"/>
  <c r="D22" i="1"/>
  <c r="A21" i="1"/>
  <c r="B19" i="1"/>
  <c r="E14" i="1"/>
  <c r="C14" i="1"/>
  <c r="B11" i="1"/>
  <c r="E9" i="1"/>
  <c r="E8" i="1"/>
  <c r="A2" i="1"/>
  <c r="A1" i="1"/>
  <c r="B20" i="1" l="1"/>
  <c r="C20" i="1"/>
  <c r="D20" i="1"/>
  <c r="E24" i="1"/>
  <c r="E23" i="1"/>
  <c r="D23" i="1"/>
  <c r="A23" i="1"/>
  <c r="B23" i="1"/>
  <c r="I30" i="4"/>
  <c r="L13" i="9"/>
  <c r="G12" i="10" s="1"/>
  <c r="F19" i="9"/>
  <c r="E14" i="10"/>
  <c r="F14" i="10" s="1"/>
  <c r="E11" i="10"/>
  <c r="F11" i="10" s="1"/>
  <c r="E19" i="9"/>
  <c r="V6" i="9" s="1"/>
  <c r="B37" i="10" s="1"/>
  <c r="D5" i="10"/>
  <c r="B19" i="15"/>
  <c r="E9" i="2"/>
  <c r="L36" i="9"/>
  <c r="L7" i="9"/>
  <c r="G6" i="10" s="1"/>
  <c r="E5" i="10"/>
  <c r="F5" i="10" s="1"/>
  <c r="L9" i="9"/>
  <c r="G8" i="10" s="1"/>
  <c r="B21" i="14"/>
  <c r="G3" i="14" s="1"/>
  <c r="G13" i="14"/>
  <c r="C53" i="5"/>
  <c r="C17" i="5"/>
  <c r="F17" i="5" s="1"/>
  <c r="H16" i="5"/>
  <c r="B53" i="5"/>
  <c r="B17" i="5"/>
  <c r="C51" i="5"/>
  <c r="H15" i="5"/>
  <c r="C22" i="5"/>
  <c r="D22" i="5" s="1"/>
  <c r="H14" i="5"/>
  <c r="C52" i="5"/>
  <c r="B52" i="5"/>
  <c r="C54" i="5"/>
  <c r="E6" i="5"/>
  <c r="A9" i="2"/>
  <c r="B19" i="2"/>
  <c r="B20" i="2" s="1"/>
  <c r="B21" i="2" s="1"/>
  <c r="L2" i="2" s="1"/>
  <c r="A14" i="1" s="1"/>
  <c r="C5" i="12"/>
  <c r="E5" i="12" s="1"/>
  <c r="F5" i="12"/>
  <c r="G5" i="12" s="1"/>
  <c r="I5" i="8"/>
  <c r="C18" i="8"/>
  <c r="F7" i="6"/>
  <c r="H7" i="6"/>
  <c r="B8" i="6"/>
  <c r="E8" i="6" s="1"/>
  <c r="C19" i="1"/>
  <c r="E21" i="1"/>
  <c r="D26" i="1"/>
  <c r="L8" i="9"/>
  <c r="G7" i="10" s="1"/>
  <c r="L11" i="9"/>
  <c r="G10" i="10" s="1"/>
  <c r="L14" i="9"/>
  <c r="G13" i="10" s="1"/>
  <c r="A8" i="1"/>
  <c r="D19" i="1"/>
  <c r="A22" i="1"/>
  <c r="E26" i="1"/>
  <c r="J3" i="6"/>
  <c r="E19" i="1"/>
  <c r="B22" i="1"/>
  <c r="A20" i="1"/>
  <c r="A9" i="1"/>
  <c r="K2" i="15"/>
  <c r="A13" i="2" s="1"/>
  <c r="H30" i="8"/>
  <c r="B21" i="1"/>
  <c r="D17" i="15"/>
  <c r="C21" i="1"/>
  <c r="B28" i="14" l="1"/>
  <c r="B27" i="14"/>
  <c r="G4" i="14" s="1"/>
  <c r="E7" i="5"/>
  <c r="E8" i="5" s="1"/>
  <c r="C23" i="5"/>
  <c r="B23" i="5"/>
  <c r="B9" i="6"/>
  <c r="E9" i="6" s="1"/>
  <c r="H8" i="6"/>
  <c r="F8" i="6"/>
  <c r="B15" i="2"/>
  <c r="B13" i="2"/>
  <c r="E22" i="5"/>
  <c r="B10" i="6" l="1"/>
  <c r="E10" i="6" s="1"/>
  <c r="H9" i="6"/>
  <c r="F9" i="6"/>
  <c r="E23" i="5"/>
  <c r="D23" i="5"/>
  <c r="C24" i="5" l="1"/>
  <c r="A29" i="5" s="1"/>
  <c r="B24" i="5"/>
  <c r="B11" i="6"/>
  <c r="E11" i="6" s="1"/>
  <c r="H10" i="6"/>
  <c r="F10" i="6"/>
  <c r="B12" i="6" l="1"/>
  <c r="E12" i="6" s="1"/>
  <c r="H11" i="6"/>
  <c r="F11" i="6"/>
  <c r="E24" i="5"/>
  <c r="C29" i="5"/>
  <c r="D24" i="5"/>
  <c r="C25" i="5" l="1"/>
  <c r="B25" i="5"/>
  <c r="B13" i="6"/>
  <c r="E13" i="6" s="1"/>
  <c r="H12" i="6"/>
  <c r="F12" i="6"/>
  <c r="H13" i="6" l="1"/>
  <c r="F13" i="6"/>
  <c r="B14" i="6"/>
  <c r="E14" i="6" s="1"/>
  <c r="E25" i="5"/>
  <c r="E29" i="5"/>
  <c r="H32" i="5"/>
  <c r="A33" i="5" l="1"/>
  <c r="H33" i="5"/>
  <c r="H34" i="5" s="1"/>
  <c r="B15" i="6"/>
  <c r="E15" i="6" s="1"/>
  <c r="H14" i="6"/>
  <c r="F14" i="6"/>
  <c r="B16" i="6" l="1"/>
  <c r="E16" i="6" s="1"/>
  <c r="H15" i="6"/>
  <c r="F15" i="6"/>
  <c r="H35" i="5"/>
  <c r="H36" i="5" s="1"/>
  <c r="C33" i="5" l="1"/>
  <c r="A45" i="5"/>
  <c r="E33" i="5"/>
  <c r="B17" i="6"/>
  <c r="E17" i="6" s="1"/>
  <c r="H16" i="6"/>
  <c r="F16" i="6"/>
  <c r="C8" i="1"/>
  <c r="B18" i="6" l="1"/>
  <c r="E18" i="6" s="1"/>
  <c r="H17" i="6"/>
  <c r="F17" i="6"/>
  <c r="B19" i="6" l="1"/>
  <c r="E19" i="6" s="1"/>
  <c r="H18" i="6"/>
  <c r="F18" i="6"/>
  <c r="H19" i="6" l="1"/>
  <c r="F19" i="6"/>
  <c r="B20" i="6"/>
  <c r="E20" i="6" s="1"/>
  <c r="B21" i="6" l="1"/>
  <c r="E21" i="6" s="1"/>
  <c r="H20" i="6"/>
  <c r="F20" i="6"/>
  <c r="B22" i="6" l="1"/>
  <c r="E22" i="6" s="1"/>
  <c r="H21" i="6"/>
  <c r="F21" i="6"/>
  <c r="B23" i="6" l="1"/>
  <c r="E23" i="6" s="1"/>
  <c r="H22" i="6"/>
  <c r="F22" i="6"/>
  <c r="B24" i="6" l="1"/>
  <c r="E24" i="6" s="1"/>
  <c r="H23" i="6"/>
  <c r="F23" i="6"/>
  <c r="B25" i="6" l="1"/>
  <c r="E25" i="6" s="1"/>
  <c r="H24" i="6"/>
  <c r="F24" i="6"/>
  <c r="B26" i="6" l="1"/>
  <c r="E26" i="6" s="1"/>
  <c r="H25" i="6"/>
  <c r="F25" i="6"/>
  <c r="B27" i="6" l="1"/>
  <c r="E27" i="6" s="1"/>
  <c r="H26" i="6"/>
  <c r="F26" i="6"/>
  <c r="B28" i="6" l="1"/>
  <c r="E28" i="6" s="1"/>
  <c r="H27" i="6"/>
  <c r="F27" i="6"/>
  <c r="B29" i="6" l="1"/>
  <c r="E29" i="6" s="1"/>
  <c r="H28" i="6"/>
  <c r="F28" i="6"/>
  <c r="B30" i="6" l="1"/>
  <c r="E30" i="6" s="1"/>
  <c r="H29" i="6"/>
  <c r="F29" i="6"/>
  <c r="B31" i="6" l="1"/>
  <c r="E31" i="6" s="1"/>
  <c r="H30" i="6"/>
  <c r="F30" i="6"/>
  <c r="B32" i="6" l="1"/>
  <c r="E32" i="6" s="1"/>
  <c r="H31" i="6"/>
  <c r="F31" i="6"/>
  <c r="B33" i="6" l="1"/>
  <c r="E33" i="6" s="1"/>
  <c r="H32" i="6"/>
  <c r="F32" i="6"/>
  <c r="B34" i="6" l="1"/>
  <c r="E34" i="6" s="1"/>
  <c r="H33" i="6"/>
  <c r="F33" i="6"/>
  <c r="B35" i="6" l="1"/>
  <c r="E35" i="6" s="1"/>
  <c r="F34" i="6"/>
  <c r="H34" i="6"/>
  <c r="B36" i="6" l="1"/>
  <c r="E36" i="6" s="1"/>
  <c r="H35" i="6"/>
  <c r="F35" i="6"/>
  <c r="B37" i="6" l="1"/>
  <c r="E37" i="6" s="1"/>
  <c r="H36" i="6"/>
  <c r="F36" i="6"/>
  <c r="H37" i="6" l="1"/>
  <c r="F37" i="6"/>
  <c r="E38" i="6"/>
  <c r="J2" i="6"/>
</calcChain>
</file>

<file path=xl/sharedStrings.xml><?xml version="1.0" encoding="utf-8"?>
<sst xmlns="http://schemas.openxmlformats.org/spreadsheetml/2006/main" count="938" uniqueCount="535">
  <si>
    <t>Página inicial executiva — abra esta aba todo dia. Dados ligados ao Fluxo, Agenda e Fixos.</t>
  </si>
  <si>
    <t>Dia de referência (simular)</t>
  </si>
  <si>
    <t>← mude para ver o que vence em outro dia</t>
  </si>
  <si>
    <t>HOJE VENCE</t>
  </si>
  <si>
    <t>SALDO (fluxo)</t>
  </si>
  <si>
    <t>PRÓXIMO RECEBIMENTO</t>
  </si>
  <si>
    <t>Faltam para o próximo recebimento</t>
  </si>
  <si>
    <t>dias</t>
  </si>
  <si>
    <t>DIAS PARA SAIR DAS DÍVIDAS</t>
  </si>
  <si>
    <t>PRÓXIMA PRIORIDADE</t>
  </si>
  <si>
    <t>CAIXA LIVRE</t>
  </si>
  <si>
    <t>Próximos vencimentos (7 dias a partir do dia de referência)</t>
  </si>
  <si>
    <t>Dia</t>
  </si>
  <si>
    <t>Conta</t>
  </si>
  <si>
    <t>Valor</t>
  </si>
  <si>
    <t>Pago</t>
  </si>
  <si>
    <t>Status</t>
  </si>
  <si>
    <t>Atalhos</t>
  </si>
  <si>
    <t>Dashboard</t>
  </si>
  <si>
    <t>Visão Power BI + velocímetro + dias p/ quitação</t>
  </si>
  <si>
    <t>Cenarios</t>
  </si>
  <si>
    <t>Extra, bônus, venda — decide o que quitar</t>
  </si>
  <si>
    <t>Agenda</t>
  </si>
  <si>
    <t>Calendário completo do mês</t>
  </si>
  <si>
    <t>Fluxo_Diario</t>
  </si>
  <si>
    <t>Saldo inicial → entradas → saídas → previsto</t>
  </si>
  <si>
    <t>Simulador</t>
  </si>
  <si>
    <t>Digite quanto recebeu → recomendação automática</t>
  </si>
  <si>
    <t>Dash_Cartoes</t>
  </si>
  <si>
    <t>Uso % de cada cartão</t>
  </si>
  <si>
    <t>Dashboard Executivo — Controladoria Pessoal</t>
  </si>
  <si>
    <t>Estilo Power BI  ·  10/07/2026  ·  Abra Inicio todo dia</t>
  </si>
  <si>
    <t>dias_para_quitar</t>
  </si>
  <si>
    <t>RECEITA</t>
  </si>
  <si>
    <t>DESPESAS (fluxo jul)</t>
  </si>
  <si>
    <t>SOBRA / DÉFICIT</t>
  </si>
  <si>
    <t>▲ recorrente mensal</t>
  </si>
  <si>
    <t>▼ saídas do mês</t>
  </si>
  <si>
    <t>receita − despesas do fluxo</t>
  </si>
  <si>
    <t>DÍVIDAS TOTAIS</t>
  </si>
  <si>
    <t>CARTÕES AGO</t>
  </si>
  <si>
    <t>sem consignado</t>
  </si>
  <si>
    <t>maquininha restante</t>
  </si>
  <si>
    <t>faturas do mês</t>
  </si>
  <si>
    <t>PERCENTUAL COMPROMETIDO DA RENDA</t>
  </si>
  <si>
    <t>Velocímetro</t>
  </si>
  <si>
    <t>0–50% 🟢</t>
  </si>
  <si>
    <t>50–70% 🟡</t>
  </si>
  <si>
    <t>70%+ 🔴</t>
  </si>
  <si>
    <t>Posição atual</t>
  </si>
  <si>
    <t>Superávit médio mensal (editável)</t>
  </si>
  <si>
    <t>Passivos atuais</t>
  </si>
  <si>
    <t>Meses restantes (estimativa)</t>
  </si>
  <si>
    <t>Dias restantes</t>
  </si>
  <si>
    <t>vai diminuindo conforme você quita e sobe o superávit</t>
  </si>
  <si>
    <t>EVOLUÇÃO DA DÍVIDA (projeção)</t>
  </si>
  <si>
    <t>Mês</t>
  </si>
  <si>
    <t>Dívida total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</si>
  <si>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</si>
  <si>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</si>
  <si>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</si>
  <si>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</si>
  <si>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</si>
  <si>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</si>
  <si>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</si>
  <si>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</si>
  <si>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</si>
  <si>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</si>
  <si>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</si>
  <si>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</si>
  <si>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EVOLUÇÃO DO PATRIMÔNIO LÍQUIDO</t>
  </si>
  <si>
    <t>PL estimado</t>
  </si>
  <si>
    <t>Alertas</t>
  </si>
  <si>
    <t>URGENTE</t>
  </si>
  <si>
    <t>Caixa PJ R$ 9.228,63 em atraso — prioridade nº 1</t>
  </si>
  <si>
    <t>AGOSTO</t>
  </si>
  <si>
    <t>Déficit projetado — veja Projecao e Fluxo_Diario</t>
  </si>
  <si>
    <t>OPORTUNIDADE</t>
  </si>
  <si>
    <t>Mercado Pago: R$ 4.155 → cancela R$ 20.988 (teste no Simulador)</t>
  </si>
  <si>
    <t>Navegação rápida: Inicio · Agenda · Fluxo_Diario · Simulador · Dash_Cartoes · Ranking · Patrimonio · Projecao</t>
  </si>
  <si>
    <t>Agenda Financeira — Julho/2026 (+ IRPF até Jan/27)</t>
  </si>
  <si>
    <t>Marque Pago = S. Status atualiza sozinho. Vermelho = atrasado/sem caixa · Amarelo = vence em breve · Verde = pago. IRPF: dia 30 até Jan/27.</t>
  </si>
  <si>
    <t>Dia de hoje (referência)</t>
  </si>
  <si>
    <t>Pago (S/N)</t>
  </si>
  <si>
    <t>Categoria</t>
  </si>
  <si>
    <t>Contabilidade</t>
  </si>
  <si>
    <t>S</t>
  </si>
  <si>
    <t>Serviço PJ</t>
  </si>
  <si>
    <t>Acordo Caixa PF (entrada antiga — já paga)</t>
  </si>
  <si>
    <t>Extra/julho</t>
  </si>
  <si>
    <t>Bradesco Bruna</t>
  </si>
  <si>
    <t>Caixa PJ — 1ª parcela</t>
  </si>
  <si>
    <t>Carrefour Bruna (mínimo)</t>
  </si>
  <si>
    <t>Carrefour Renan (mínimo)</t>
  </si>
  <si>
    <t>Cartão Mãe (total julho)</t>
  </si>
  <si>
    <t>Inter PJ</t>
  </si>
  <si>
    <t>Nubank PF — acordo julho</t>
  </si>
  <si>
    <t>Empréstimo</t>
  </si>
  <si>
    <t>Porto Bank</t>
  </si>
  <si>
    <t>Sam's Club (mínimo)</t>
  </si>
  <si>
    <t>Banco Pan — quitação</t>
  </si>
  <si>
    <t>Empr. Bruna (obra)</t>
  </si>
  <si>
    <t>Internet/Telefone</t>
  </si>
  <si>
    <t>Serviço</t>
  </si>
  <si>
    <t>Itaú PF — 1</t>
  </si>
  <si>
    <t>Itaú PF — 2</t>
  </si>
  <si>
    <t>Itaú PF — 3</t>
  </si>
  <si>
    <t>IPVA MOTO</t>
  </si>
  <si>
    <t>Depósito de material RM</t>
  </si>
  <si>
    <t>Caixa PF — boleto entrada acordo+IOF (pendente 15/07)</t>
  </si>
  <si>
    <t>N</t>
  </si>
  <si>
    <t>FIES Bruna</t>
  </si>
  <si>
    <t>Educação</t>
  </si>
  <si>
    <t>Depósito construção</t>
  </si>
  <si>
    <t>Obra</t>
  </si>
  <si>
    <t>Consórcio Porto</t>
  </si>
  <si>
    <t>Financiamento</t>
  </si>
  <si>
    <t>DAS</t>
  </si>
  <si>
    <t>Imposto PJ</t>
  </si>
  <si>
    <t>Bradesco PF (pendente)</t>
  </si>
  <si>
    <t>Seguro carro</t>
  </si>
  <si>
    <t>Seguro</t>
  </si>
  <si>
    <t>IRPF</t>
  </si>
  <si>
    <t>Imposto PF</t>
  </si>
  <si>
    <t>IRPF — parcelas até Jan/27 (todo dia 30)</t>
  </si>
  <si>
    <t>IRPF — Ago/26</t>
  </si>
  <si>
    <t>IRPF — Set/26</t>
  </si>
  <si>
    <t>IRPF — Out/26</t>
  </si>
  <si>
    <t>IRPF — Nov/26</t>
  </si>
  <si>
    <t>IRPF — Dez/26</t>
  </si>
  <si>
    <t>IRPF — Jan/27</t>
  </si>
  <si>
    <t>TOTAL PENDENTE (jul + IRPF futuros)</t>
  </si>
  <si>
    <t>Contas a Pagar — Agosto/2026 a Janeiro/2027</t>
  </si>
  <si>
    <t>Consolidação de despesas fixas, parcelas e cartões. Edite o Dia somente nesta aba: Fixos, Cartoes, Agenda e o detalhamento abaixo serão atualizados automaticamente.</t>
  </si>
  <si>
    <t>Total</t>
  </si>
  <si>
    <t>Fonte</t>
  </si>
  <si>
    <t>Observação</t>
  </si>
  <si>
    <t>Cartões</t>
  </si>
  <si>
    <t>Bradesco. Julho pago; fatura ago venc. 01/08</t>
  </si>
  <si>
    <t>Caixa PJ — parcelas</t>
  </si>
  <si>
    <t>Pendências</t>
  </si>
  <si>
    <t>Parcelas mensais do cronograma da Caixa PJ, usando os valores com juros.</t>
  </si>
  <si>
    <t>Carrefour Bruna</t>
  </si>
  <si>
    <t>Carrefour. Limite total do banco</t>
  </si>
  <si>
    <t>Carrefour Renan</t>
  </si>
  <si>
    <t>Cartão Porto Bruna e Renan</t>
  </si>
  <si>
    <t>Porto. Julho pago; fatura ago venc. 01/08</t>
  </si>
  <si>
    <t>Inter. 3 parcelas restantes</t>
  </si>
  <si>
    <t>Itaú Click Bruna</t>
  </si>
  <si>
    <t>Itaú. Fatura ago venc. 01/08 — ajuste o limite no app</t>
  </si>
  <si>
    <t>Itaú Gold Bruna</t>
  </si>
  <si>
    <t>Itaú Internacional Bruna</t>
  </si>
  <si>
    <t>Sam's Club</t>
  </si>
  <si>
    <t>Sam's / Mastercard. Limite total do banco</t>
  </si>
  <si>
    <t>Fixos</t>
  </si>
  <si>
    <t>Empresa · até Recorrente. Pago em 03/07</t>
  </si>
  <si>
    <t>Particular · até Jan/2027. Julho pago</t>
  </si>
  <si>
    <t>Caixa · até Dez/2026. Julho pago</t>
  </si>
  <si>
    <t>Nubank PF (cartão)</t>
  </si>
  <si>
    <t>Nubank. Limite total do banco</t>
  </si>
  <si>
    <t>Nubank PJ</t>
  </si>
  <si>
    <t>Itaú Mãe (+ maquininha)</t>
  </si>
  <si>
    <t>Itaú. Inclui R$ 1.400 maquininha ago–mai</t>
  </si>
  <si>
    <t>Itaú · até Jul/2029. Julho pago</t>
  </si>
  <si>
    <t>Itaú · até Jan/2028. Julho pago</t>
  </si>
  <si>
    <t>Caixa PF — acordo (parcela)</t>
  </si>
  <si>
    <t>Porto · até Longo prazo. Pendente em julho</t>
  </si>
  <si>
    <t>Nubank PF (crédito)</t>
  </si>
  <si>
    <t>Nubank · até Jun/2028. Jul/26 via acordo R$ 1.353,13</t>
  </si>
  <si>
    <t>Seguradora · até Abr/2027. Pendente em julho</t>
  </si>
  <si>
    <t>Governo · até Recorrente. Valor atualizado</t>
  </si>
  <si>
    <t>Receita · até Jan/2027. Todo dia 30 até Jan/27 — ver Agenda</t>
  </si>
  <si>
    <t>TOTAL PENDENTE POR MÊS</t>
  </si>
  <si>
    <t>Cenários Financeiros — Simule e Decida</t>
  </si>
  <si>
    <t>Preencha os valores amarelos. A planilha monta o melhor uso do dinheiro, economia de juros, sobra mensal e quanto você antecipa a saída do vermelho.</t>
  </si>
  <si>
    <t>1. O QUE ENTRA (edite as células amarelas)</t>
  </si>
  <si>
    <t>Parâmetros (editáveis)</t>
  </si>
  <si>
    <t>Caixa livre atual (já disponível)</t>
  </si>
  <si>
    <t>Superávit médio mensal atual</t>
  </si>
  <si>
    <t>Recebi extra / freelance</t>
  </si>
  <si>
    <t>Passivos atuais (s/ consignado)</t>
  </si>
  <si>
    <t>Bônus / 13º / PLR (à vista agora)</t>
  </si>
  <si>
    <t>13º GFT já na Projeção: Nov R$ 3.335,84 + Dez R$ 1.876,60</t>
  </si>
  <si>
    <t>Meses até sair do vermelho (hoje)</t>
  </si>
  <si>
    <t>Venda de bem (ex.: carro)</t>
  </si>
  <si>
    <t>Dias até sair do vermelho (hoje)</t>
  </si>
  <si>
    <t>Outro valor</t>
  </si>
  <si>
    <t>TOTAL DISPONÍVEL NO CENÁRIO</t>
  </si>
  <si>
    <t>2. DÍVIDAS CANDIDATAS</t>
  </si>
  <si>
    <t>Dívida</t>
  </si>
  <si>
    <t>Custo p/ agir</t>
  </si>
  <si>
    <t>Cancela / reduz</t>
  </si>
  <si>
    <t>Economia imediata</t>
  </si>
  <si>
    <t>Juros % a.m.</t>
  </si>
  <si>
    <t>Juros R$/mês evitados</t>
  </si>
  <si>
    <t>Parcela liberada/mês</t>
  </si>
  <si>
    <t>Cabe no total?</t>
  </si>
  <si>
    <t>Caixa PJ — zerar atraso</t>
  </si>
  <si>
    <t>Mercado Pago — quitar</t>
  </si>
  <si>
    <t>Caixa PF — acordo 10x (PDF)</t>
  </si>
  <si>
    <t>Nubank PF — amortizar</t>
  </si>
  <si>
    <t>SIM</t>
  </si>
  <si>
    <t>Itaú PF (3) — só referência</t>
  </si>
  <si>
    <t>—</t>
  </si>
  <si>
    <t>3. PLANO AUTOMÁTICO (melhor uso do total)</t>
  </si>
  <si>
    <t>Passo</t>
  </si>
  <si>
    <t>Ação</t>
  </si>
  <si>
    <t>Valor aplicado</t>
  </si>
  <si>
    <t>Sobra após passo</t>
  </si>
  <si>
    <t>Efeito</t>
  </si>
  <si>
    <t>Caixa PJ — amortizar atraso</t>
  </si>
  <si>
    <t>4. RESPOSTAS AUTOMÁTICAS</t>
  </si>
  <si>
    <t>QUITE PRIMEIRO</t>
  </si>
  <si>
    <t>ECONOMIA IMEDIATA</t>
  </si>
  <si>
    <t>JUROS EVITADOS / MÊS</t>
  </si>
  <si>
    <t>SOBRA MENSAL AUMENTA</t>
  </si>
  <si>
    <t>ANTECIPA SAÍDA DO VERMELHO</t>
  </si>
  <si>
    <t>NOVO PRAZO</t>
  </si>
  <si>
    <t>passivos_apos</t>
  </si>
  <si>
    <t>superavit_apos</t>
  </si>
  <si>
    <t>meses_apos</t>
  </si>
  <si>
    <t>(≈ juros/mês que deixam de sair + alívio de caixa)</t>
  </si>
  <si>
    <t>dias a menos</t>
  </si>
  <si>
    <t>dias_apos</t>
  </si>
  <si>
    <t>dias_ganhos</t>
  </si>
  <si>
    <t>5. ATALHOS DE CENÁRIO (copie o valor para a célula amarela)</t>
  </si>
  <si>
    <t>Cenário</t>
  </si>
  <si>
    <t>Valor sugerido</t>
  </si>
  <si>
    <t>Onde colar</t>
  </si>
  <si>
    <t>Obs</t>
  </si>
  <si>
    <t>Extra R$ 5.000</t>
  </si>
  <si>
    <t>B6</t>
  </si>
  <si>
    <t>Freelance / venda pequena</t>
  </si>
  <si>
    <t>Bônus R$ 20.000</t>
  </si>
  <si>
    <t>B7</t>
  </si>
  <si>
    <t>PLR / 13º / bônus</t>
  </si>
  <si>
    <t>Venda carro R$ 35.000</t>
  </si>
  <si>
    <t>B8</t>
  </si>
  <si>
    <t>Exemplo — ajuste o valor real</t>
  </si>
  <si>
    <t>Só caixa livre</t>
  </si>
  <si>
    <t>B6–B9=0</t>
  </si>
  <si>
    <t>Usa apenas Prioridades!I3</t>
  </si>
  <si>
    <t>VEREDITO DO CENÁRIO</t>
  </si>
  <si>
    <t>Comparativo se aplicar TODO o valor em uma única dívida</t>
  </si>
  <si>
    <t>Opção única</t>
  </si>
  <si>
    <t>Economia</t>
  </si>
  <si>
    <t>Juros/mês evitados</t>
  </si>
  <si>
    <t>Só Caixa PJ atraso</t>
  </si>
  <si>
    <t>Só Mercado Pago</t>
  </si>
  <si>
    <t>Só Caixa PF</t>
  </si>
  <si>
    <t>Só Nubank amortizar</t>
  </si>
  <si>
    <t>Dica: o plano automático (seção 3) prioriza RISCO (Caixa PJ) e depois ROI (Mercado Pago). Se o atraso da Caixa PJ já estiver resolvido, zere B14 mentalmente ou use o Simulador.</t>
  </si>
  <si>
    <t>Caixa Diário — Visão de Controladoria</t>
  </si>
  <si>
    <t>Saldo Inicial → Entradas → Saídas → Saldo Final → Saldo Previsto. Linha vermelha = sem caixa.</t>
  </si>
  <si>
    <t>saldo_fim_mes</t>
  </si>
  <si>
    <t>Mês/Ano</t>
  </si>
  <si>
    <t>Jul/2026</t>
  </si>
  <si>
    <t>Saldo inicial do mês</t>
  </si>
  <si>
    <t>← edite com o saldo real</t>
  </si>
  <si>
    <t>total_entradas</t>
  </si>
  <si>
    <t>Caixa livre (maquininha)</t>
  </si>
  <si>
    <t>total_saidas</t>
  </si>
  <si>
    <t>receita_recorrente</t>
  </si>
  <si>
    <t>Saldo Inicial</t>
  </si>
  <si>
    <t>Entradas</t>
  </si>
  <si>
    <t>Saídas</t>
  </si>
  <si>
    <t>Saldo Final</t>
  </si>
  <si>
    <t>Saldo Previsto*</t>
  </si>
  <si>
    <t>Eventos</t>
  </si>
  <si>
    <t>Alerta</t>
  </si>
  <si>
    <t>despesas_mes</t>
  </si>
  <si>
    <t>+ Maquininha (cartão Mãe) — extraordinária</t>
  </si>
  <si>
    <t>sobra_mes</t>
  </si>
  <si>
    <t>✓ Contabilidade</t>
  </si>
  <si>
    <t>✓ Acordo Caixa PF (entrada antiga — já paga) | ✓ Nubank PF — acordo julho | ✓ Cartão Mãe (total julho) | ✓ Porto Bank | ✓ Bradesco Bruna | ✓ Sam's Club (mínimo) | ✓ Carrefour Bruna (mínimo) | ✓ Carrefour Renan (mínimo) | ✓ Inter PJ | ✓ Caixa PJ — 1ª parcela</t>
  </si>
  <si>
    <t>✓ Empr. Bruna (obra) | ✓ Internet/Telefone | ✓ Itaú PF — 1 | ✓ Itaú PF — 2 | ✓ Itaú PF — 3 | ✓ Banco Pan — quitação</t>
  </si>
  <si>
    <t>✓ IPVA MOTO</t>
  </si>
  <si>
    <t>✓ Depósito de material RM</t>
  </si>
  <si>
    <t>+ GFT — adiantamento | ✓ FIES Bruna | ✓ Caixa PF — boleto entrada acordo+IOF (pendente 15/07)</t>
  </si>
  <si>
    <t>○ Depósito construção</t>
  </si>
  <si>
    <t>○ Consórcio Porto | ○ DAS</t>
  </si>
  <si>
    <t>✓ Bradesco PF (pendente)</t>
  </si>
  <si>
    <t>○ Seguro carro</t>
  </si>
  <si>
    <t>+ Olik (PJ) | + GFT — fechamento | ○ IRPF</t>
  </si>
  <si>
    <t>TOTAL</t>
  </si>
  <si>
    <t>* Saldo Previsto = saldo final do dia + entradas restantes do mês − saídas restantes do mês</t>
  </si>
  <si>
    <t>Despesas Fixas Recorrentes</t>
  </si>
  <si>
    <t>refs</t>
  </si>
  <si>
    <t>Marque Pago = S quando quitar. Os vencimentos vêm da coluna Dia da aba Contas_Ago_Jan.</t>
  </si>
  <si>
    <t>total_fixos</t>
  </si>
  <si>
    <t>pendente_fixos</t>
  </si>
  <si>
    <t>Dia venc.</t>
  </si>
  <si>
    <t>Banco/Origem</t>
  </si>
  <si>
    <t>Até quando</t>
  </si>
  <si>
    <t>pago_fixos</t>
  </si>
  <si>
    <t>Porto</t>
  </si>
  <si>
    <t>Longo prazo</t>
  </si>
  <si>
    <t>Pendente em julho</t>
  </si>
  <si>
    <t>Particular</t>
  </si>
  <si>
    <t>Jan/2027</t>
  </si>
  <si>
    <t>Julho pago</t>
  </si>
  <si>
    <t>Pagar à vista dia 16/07</t>
  </si>
  <si>
    <t>Vivo</t>
  </si>
  <si>
    <t>Recorrente</t>
  </si>
  <si>
    <t>Seguradora</t>
  </si>
  <si>
    <t>Abr/2027</t>
  </si>
  <si>
    <t>Caixa</t>
  </si>
  <si>
    <t>Dez/2026</t>
  </si>
  <si>
    <t>Nubank</t>
  </si>
  <si>
    <t>Jun/2028</t>
  </si>
  <si>
    <t>Jul/26 via acordo R$ 1.353,13</t>
  </si>
  <si>
    <t>Itaú</t>
  </si>
  <si>
    <t>Jul/2029</t>
  </si>
  <si>
    <t>Jan/2028</t>
  </si>
  <si>
    <t>Governo</t>
  </si>
  <si>
    <t>Valor atualizado</t>
  </si>
  <si>
    <t>Empresa</t>
  </si>
  <si>
    <t>Pago em 03/07</t>
  </si>
  <si>
    <t>Receita</t>
  </si>
  <si>
    <t>Todo dia 30 até Jan/27 — ver Agenda</t>
  </si>
  <si>
    <t>10x R$ 584,37 (CET 1,47% a.m.) — 1ª em ago/26; jul só boleto 15/07</t>
  </si>
  <si>
    <t>TOTAL DO MÊS</t>
  </si>
  <si>
    <t>PENDENTE (não pagos)</t>
  </si>
  <si>
    <t>JÁ PAGOS</t>
  </si>
  <si>
    <t>Empréstimos — Controle Individual</t>
  </si>
  <si>
    <t>Restam = ROUNDUP(Saldo/Parcela). Atualize o saldo após cada pagamento.</t>
  </si>
  <si>
    <t>dividas_parceladas</t>
  </si>
  <si>
    <t>dividas_abertas</t>
  </si>
  <si>
    <t>Com parcela mensal definida</t>
  </si>
  <si>
    <t>dividas_totais</t>
  </si>
  <si>
    <t>Banco</t>
  </si>
  <si>
    <t>Saldo</t>
  </si>
  <si>
    <t>Parcela/mês</t>
  </si>
  <si>
    <t>Restam</t>
  </si>
  <si>
    <t>Fim estimado</t>
  </si>
  <si>
    <t>caixa_pj_atraso</t>
  </si>
  <si>
    <t>Nubank PF (crédito pessoal)</t>
  </si>
  <si>
    <t>Em dia</t>
  </si>
  <si>
    <t>parcela_mensal_emp</t>
  </si>
  <si>
    <t>Itaú PF — empréstimo 1</t>
  </si>
  <si>
    <t>caixa_pj_proxima</t>
  </si>
  <si>
    <t>Itaú PF — empréstimo 2</t>
  </si>
  <si>
    <t>Itaú PF — empréstimo 3</t>
  </si>
  <si>
    <t>A regularizar / quitar</t>
  </si>
  <si>
    <t>Saldo total</t>
  </si>
  <si>
    <t>Atrasado</t>
  </si>
  <si>
    <t>Valor quitação</t>
  </si>
  <si>
    <t>Prioridade</t>
  </si>
  <si>
    <t>Estratégia / Obs</t>
  </si>
  <si>
    <t>Caixa PJ</t>
  </si>
  <si>
    <t>Irregular</t>
  </si>
  <si>
    <t>Pagar 1 a 1 (cronograma abaixo) até aliviar cartões</t>
  </si>
  <si>
    <t>Mercado Pago</t>
  </si>
  <si>
    <t>Em aberto</t>
  </si>
  <si>
    <t>Caixa PF</t>
  </si>
  <si>
    <t>Acordo 10x</t>
  </si>
  <si>
    <t>Banco Pan</t>
  </si>
  <si>
    <t>Quitado</t>
  </si>
  <si>
    <t>TOTAL EM ABERTO</t>
  </si>
  <si>
    <t>Consignado CLT (informativo — já descontado em folha)</t>
  </si>
  <si>
    <t>Consignado 1</t>
  </si>
  <si>
    <t>Consignado 2</t>
  </si>
  <si>
    <t>Consignado 3</t>
  </si>
  <si>
    <t>TOTAL CONSIGNADO</t>
  </si>
  <si>
    <t>Caixa PJ — cronograma de parcelas (pagar 1 a 1)</t>
  </si>
  <si>
    <t>Marque Situação = Pago após cada pagamento. Atrasado (C14) e próxima parcela atualizam sozinhas. Caixa livre segue para aliviar cartões.</t>
  </si>
  <si>
    <t>#</t>
  </si>
  <si>
    <t>Nº parcela</t>
  </si>
  <si>
    <t>Situação</t>
  </si>
  <si>
    <t>Valor c/ juros</t>
  </si>
  <si>
    <t>Próxima parcela (c/ juros)</t>
  </si>
  <si>
    <t>Não Paga</t>
  </si>
  <si>
    <t>Parcelas restantes</t>
  </si>
  <si>
    <t>Total a pagar (c/ juros)</t>
  </si>
  <si>
    <t>Cartões de Crédito — Limite Total × Utilizado × Disponível</t>
  </si>
  <si>
    <t>Limite Total = crédito concedido pelo banco (amarelo = editável). Utilizado = fatura atual + parcelas que ocupam limite (edite conforme o app). Disponível e % calculam sozinhos.</t>
  </si>
  <si>
    <t>cartoes_mes_ago</t>
  </si>
  <si>
    <t>Status:</t>
  </si>
  <si>
    <t>🟢 ≤30% Excelente</t>
  </si>
  <si>
    <t>🟡 31–50% Atenção</t>
  </si>
  <si>
    <t>🟠 51–80% Alto</t>
  </si>
  <si>
    <t>🔴 &gt;80% Crítico</t>
  </si>
  <si>
    <t>cartoes_total_restante</t>
  </si>
  <si>
    <t>limite_total</t>
  </si>
  <si>
    <t>Cartão</t>
  </si>
  <si>
    <t>Limite Total</t>
  </si>
  <si>
    <t>Utilizado</t>
  </si>
  <si>
    <t>Disponível</t>
  </si>
  <si>
    <t>% Utilizado</t>
  </si>
  <si>
    <t>Fechamento</t>
  </si>
  <si>
    <t>Vencimento</t>
  </si>
  <si>
    <t>Fatura Atual</t>
  </si>
  <si>
    <t>Próxima Fatura</t>
  </si>
  <si>
    <t>Parcelas Restantes</t>
  </si>
  <si>
    <t>utilizado_total</t>
  </si>
  <si>
    <t>disponivel_total</t>
  </si>
  <si>
    <t>Sam's / Mastercard</t>
  </si>
  <si>
    <t>Carrefour</t>
  </si>
  <si>
    <t>Inter</t>
  </si>
  <si>
    <t>Bradesco</t>
  </si>
  <si>
    <t>Bradesco PF</t>
  </si>
  <si>
    <t>Cronograma de parcelas futuras (detalhe)</t>
  </si>
  <si>
    <t>Dica: atualize a coluna Utilizado pelo app do banco (fatura aberta + parcelas). O Limite Total só muda quando o banco altera o crédito.</t>
  </si>
  <si>
    <t>Dashboard de Cartões — Uso do Limite Total</t>
  </si>
  <si>
    <t>Ligado à aba Cartoes. 🟢 ≤30% · 🟡 31–50% · 🟠 51–80% · 🔴 &gt;80%</t>
  </si>
  <si>
    <t>Uso %</t>
  </si>
  <si>
    <t>Barra</t>
  </si>
  <si>
    <t>Limite total (soma)</t>
  </si>
  <si>
    <t>Utilizado (soma)</t>
  </si>
  <si>
    <t>Disponível (soma)</t>
  </si>
  <si>
    <t>Plano de Ataque — Ordem de Prioridade</t>
  </si>
  <si>
    <t>A primeira linha com Status diferente de Feito/Em dia é a próxima prioridade do Dashboard.</t>
  </si>
  <si>
    <t>proxima_prioridade</t>
  </si>
  <si>
    <t>caixa_livre</t>
  </si>
  <si>
    <t>Motivo</t>
  </si>
  <si>
    <t>Pagar 1 parcela por vez (cronograma Empréstimos)</t>
  </si>
  <si>
    <t>Em andamento</t>
  </si>
  <si>
    <t>11 parcelas no portal; 1 a 1 até aliviar cartões</t>
  </si>
  <si>
    <t>Aliviar faturas / parcelas</t>
  </si>
  <si>
    <t>Foco do caixa livre até reduzir pressão do limite</t>
  </si>
  <si>
    <t>✓</t>
  </si>
  <si>
    <t>Feito</t>
  </si>
  <si>
    <t>Pago com desconto (era R$ 552,35)</t>
  </si>
  <si>
    <t>Quitar</t>
  </si>
  <si>
    <t>Cancela R$ 20.988 — ROI 80% (após alívio dos cartões)</t>
  </si>
  <si>
    <t>Acordo 10x R$ 584,37</t>
  </si>
  <si>
    <t>Em acordo</t>
  </si>
  <si>
    <t>Boleto R$ 696,49 (15/07) + 10x R$ 584,37 — dívida R$ 8.695 → paga R$ 6.540</t>
  </si>
  <si>
    <t>Nubank / Itaú PF</t>
  </si>
  <si>
    <t>Manter parcelas</t>
  </si>
  <si>
    <t>Manter ritmo; acelerar depois</t>
  </si>
  <si>
    <t>Próxima prioridade</t>
  </si>
  <si>
    <t>Ação sugerida</t>
  </si>
  <si>
    <t>Uso do caixa livre (maquininha) — histórico</t>
  </si>
  <si>
    <t>Destino</t>
  </si>
  <si>
    <t>Pagar</t>
  </si>
  <si>
    <t>Sobra</t>
  </si>
  <si>
    <t>Acordo Caixa PF (entrada antiga)</t>
  </si>
  <si>
    <t>Já pago</t>
  </si>
  <si>
    <t>Já pago — desconto R$ 25,32</t>
  </si>
  <si>
    <t>Caixa PF — boleto entrada+IOF 15/07</t>
  </si>
  <si>
    <t>Pagar — depois 10x R$ 584,37</t>
  </si>
  <si>
    <t>Cartões — aliviar faturas/parcelas</t>
  </si>
  <si>
    <t>Foco do caixa livre — Caixa PJ segue 1 parcela por vez</t>
  </si>
  <si>
    <t>Caixa PJ: 11 parcelas no portal (3x nº0 + parcelas 1–8). Pagar 1 a 1 pelo valor c/ juros. Caixa livre continua para aliviar cartões. Atualize Situação=Pago na aba Empréstimos após cada pagamento.</t>
  </si>
  <si>
    <t>Ranking das Dívidas — Juros × Prioridade × Economia</t>
  </si>
  <si>
    <t>Juros/mês estimados (edite). Economia = saldo − custo de quitação. Prioridade considera risco + ROI.</t>
  </si>
  <si>
    <t>Juros R$/mês</t>
  </si>
  <si>
    <t>Custo quitação</t>
  </si>
  <si>
    <t>Caixa PJ (atraso)</t>
  </si>
  <si>
    <t>Risco de negativação</t>
  </si>
  <si>
    <t>ROI ~80%</t>
  </si>
  <si>
    <t>Acordo PDF 10x R$ 584,37</t>
  </si>
  <si>
    <t>Nubank PF</t>
  </si>
  <si>
    <t>Amortizar após quitações</t>
  </si>
  <si>
    <t>Itaú PF (3)</t>
  </si>
  <si>
    <t>Taxa menor — manter</t>
  </si>
  <si>
    <t>Simulador Inteligente</t>
  </si>
  <si>
    <t>Digite quanto você recebeu. A planilha responde automaticamente a melhor ação.</t>
  </si>
  <si>
    <t>RECEBI</t>
  </si>
  <si>
    <t>← digite aqui</t>
  </si>
  <si>
    <t>RECOMENDAÇÃO AUTOMÁTICA</t>
  </si>
  <si>
    <t>Quite</t>
  </si>
  <si>
    <t>Comparativo completo</t>
  </si>
  <si>
    <t>Opção</t>
  </si>
  <si>
    <t>Custo</t>
  </si>
  <si>
    <t>Cancela</t>
  </si>
  <si>
    <t>Cabe?</t>
  </si>
  <si>
    <t>MP + resto na Caixa PJ</t>
  </si>
  <si>
    <t>Regra do simulador</t>
  </si>
  <si>
    <t>1) Se o valor zera o atraso da Caixa PJ → priorize isso (risco). 2) Se cabe Mercado Pago e o atraso já está controlado → melhor ROI. 3) Caso contrário → amortize Caixa PJ com tudo que tiver.</t>
  </si>
  <si>
    <t>Controle Patrimonial</t>
  </si>
  <si>
    <t>Atualize ativos e passivos. Patrimônio líquido = Ativos − Passivos (sem consignado) − Consignado (opcional).</t>
  </si>
  <si>
    <t>ativos</t>
  </si>
  <si>
    <t>passivos</t>
  </si>
  <si>
    <t>Ativos</t>
  </si>
  <si>
    <t>pl</t>
  </si>
  <si>
    <t>Ativo</t>
  </si>
  <si>
    <t>Tipo</t>
  </si>
  <si>
    <t>Consórcio Porto — carta de crédito</t>
  </si>
  <si>
    <t>Consórcio</t>
  </si>
  <si>
    <t>Extrato 10/07/2026 — Grupo I0254 Cota 0417-00 — Imóvel Flex</t>
  </si>
  <si>
    <t>Composição passivos</t>
  </si>
  <si>
    <t>Consórcio Porto — valor acumulado</t>
  </si>
  <si>
    <t>Pago: FC R$ 119.032,58 + FR R$ 591,62 + Taxa Adm R$ 30.026,74 + Seguros R$ 10.149,65 (20,6510%)</t>
  </si>
  <si>
    <t>Reserva financeira</t>
  </si>
  <si>
    <t>Reserva</t>
  </si>
  <si>
    <t>Editar quando houver</t>
  </si>
  <si>
    <t>Investimentos</t>
  </si>
  <si>
    <t>Investimento</t>
  </si>
  <si>
    <t>TOTAL ATIVOS</t>
  </si>
  <si>
    <t>Passivos (sem consignado)</t>
  </si>
  <si>
    <t>Irregular — pagar 1 parcela por vez até aliviar cartões</t>
  </si>
  <si>
    <t>Quitação R$ 4.155,54</t>
  </si>
  <si>
    <t>Acordo PDF — boleto R$ 696,49 (15/07) + 10x R$ 584,37 (CET 1,47%)</t>
  </si>
  <si>
    <t>Cartões (parcelas futuras)</t>
  </si>
  <si>
    <t>Saldo restante parcelado</t>
  </si>
  <si>
    <t>TOTAL PASSIVOS (s/ consignado)</t>
  </si>
  <si>
    <t>Consignado CLT (em folha)</t>
  </si>
  <si>
    <t>Total consignado</t>
  </si>
  <si>
    <t>Resumo</t>
  </si>
  <si>
    <t>Patrimônio líquido (s/ consignado)</t>
  </si>
  <si>
    <t>Patrimônio líquido (c/ consignado)</t>
  </si>
  <si>
    <t>Meta — Casa Própria</t>
  </si>
  <si>
    <t>Valor alvo do imóvel</t>
  </si>
  <si>
    <t>Carta de crédito (consórcio)</t>
  </si>
  <si>
    <t>Entrada necessária</t>
  </si>
  <si>
    <t>Falta para entrada</t>
  </si>
  <si>
    <t>Prazo estimado</t>
  </si>
  <si>
    <t>Dez/2028</t>
  </si>
  <si>
    <t>Estratégia: quitar dívidas (2026–2028) → acumular entrada R$ 70.000 → complementar com carta do consórcio.</t>
  </si>
  <si>
    <t>Projeção Financeira — Jul/2026 a Jun/2027</t>
  </si>
  <si>
    <t>Edite Compromissos/Renda (amarelo). Saldo e % comprometida calculam sozinhos. Gráfico no Dashboard.</t>
  </si>
  <si>
    <t>comprometimento</t>
  </si>
  <si>
    <t>Compromissos</t>
  </si>
  <si>
    <t>Renda</t>
  </si>
  <si>
    <t>% renda comprometida</t>
  </si>
  <si>
    <t>Apertado</t>
  </si>
  <si>
    <t>Déficit + maquininha</t>
  </si>
  <si>
    <t>Déficit</t>
  </si>
  <si>
    <t>Déficit + IPVA R$3k</t>
  </si>
  <si>
    <t>Superávit + 13º GFT 1ª parcela R$ 3.335,84</t>
  </si>
  <si>
    <t>Superávit + 13º GFT 2ª parcela R$ 1.876,60</t>
  </si>
  <si>
    <t>Superávit</t>
  </si>
  <si>
    <t>Virada!</t>
  </si>
  <si>
    <t>MÉDIA / TOTAL</t>
  </si>
  <si>
    <t>Cartões Ago/26 (da aba Cartoes)</t>
  </si>
  <si>
    <t>Comprometimento médio da renda</t>
  </si>
  <si>
    <t>13º salário GFT (emprego CLT)</t>
  </si>
  <si>
    <t>Nov/26 — 1ª parcela</t>
  </si>
  <si>
    <t>Já somado na renda de Nov/26</t>
  </si>
  <si>
    <t>Dez/26 — 2ª parcela</t>
  </si>
  <si>
    <t>Já somado na renda de Dez/26</t>
  </si>
  <si>
    <t>TOTAL 13º GFT</t>
  </si>
  <si>
    <t>Claro · até Recorrente. Julho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</si>
</sst>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0.0%"/>
  </numFmts>
  <fonts count="25" x14ac:knownFonts="1">
    <font>
      <sz val="11"/>
      <color theme="1"/>
      <name val="Calibri"/>
      <family val="2"/>
      <scheme val="minor"/>
    </font>
    <font>
      <b/>
      <sz val="16"/>
      <color rgb="FF1A1A2E"/>
      <name val="Calibri"/>
    </font>
    <font>
      <sz val="10"/>
      <color rgb="FF777777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3"/>
      <color rgb="FF1A1A2E"/>
      <name val="Calibri"/>
    </font>
    <font>
      <b/>
      <sz val="11"/>
      <color rgb="FFC0392B"/>
      <name val="Calibri"/>
    </font>
    <font>
      <b/>
      <sz val="18"/>
      <color rgb="FFD68910"/>
      <name val="Calibri"/>
    </font>
    <font>
      <b/>
      <sz val="18"/>
      <color rgb="FFC0392B"/>
      <name val="Calibri"/>
    </font>
    <font>
      <b/>
      <sz val="18"/>
      <color rgb="FF1A1A2E"/>
      <name val="Calibri"/>
    </font>
    <font>
      <b/>
      <sz val="18"/>
      <color rgb="FF1A6CA8"/>
      <name val="Calibri"/>
    </font>
    <font>
      <b/>
      <sz val="18"/>
      <color rgb="FF1E8449"/>
      <name val="Calibri"/>
    </font>
    <font>
      <sz val="10"/>
      <color rgb="FFFFFFFF"/>
      <name val="Calibri"/>
    </font>
    <font>
      <b/>
      <sz val="22"/>
      <color rgb="FFFFFFFF"/>
      <name val="Calibri"/>
    </font>
    <font>
      <b/>
      <sz val="16"/>
      <color rgb="FFFFFFFF"/>
      <name val="Calibri"/>
    </font>
    <font>
      <b/>
      <sz val="36"/>
      <color rgb="FF1A1A2E"/>
      <name val="Calibri"/>
    </font>
    <font>
      <b/>
      <sz val="14"/>
      <name val="Consolas"/>
    </font>
    <font>
      <sz val="10"/>
      <color rgb="FFC0392B"/>
      <name val="Consolas"/>
    </font>
    <font>
      <b/>
      <sz val="22"/>
      <color rgb="FF1A1A2E"/>
      <name val="Calibri"/>
    </font>
    <font>
      <b/>
      <sz val="12"/>
      <color rgb="FFFFFFFF"/>
      <name val="Calibri"/>
    </font>
    <font>
      <b/>
      <sz val="36"/>
      <color rgb="FFFFFFFF"/>
      <name val="Calibri"/>
    </font>
    <font>
      <b/>
      <sz val="18"/>
      <color rgb="FFFFFFFF"/>
      <name val="Calibri"/>
    </font>
    <font>
      <b/>
      <sz val="14"/>
      <color rgb="FFFFFFFF"/>
      <name val="Calibri"/>
    </font>
    <font>
      <b/>
      <sz val="28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EF9EC"/>
      </patternFill>
    </fill>
    <fill>
      <patternFill patternType="solid">
        <fgColor rgb="FFEAF4FB"/>
      </patternFill>
    </fill>
    <fill>
      <patternFill patternType="solid">
        <fgColor rgb="FFFAFBFC"/>
      </patternFill>
    </fill>
    <fill>
      <patternFill patternType="solid">
        <fgColor rgb="FFEAFAF1"/>
      </patternFill>
    </fill>
    <fill>
      <patternFill patternType="solid">
        <fgColor rgb="FFF0F2F5"/>
      </patternFill>
    </fill>
    <fill>
      <patternFill patternType="solid">
        <fgColor rgb="FFFDF3F2"/>
      </patternFill>
    </fill>
    <fill>
      <patternFill patternType="solid">
        <fgColor rgb="FFFFFDE7"/>
      </patternFill>
    </fill>
    <fill>
      <patternFill patternType="solid">
        <fgColor rgb="FFFDEBD0"/>
      </patternFill>
    </fill>
    <fill>
      <patternFill patternType="solid">
        <fgColor rgb="FF1E8449"/>
      </patternFill>
    </fill>
    <fill>
      <patternFill patternType="solid">
        <fgColor rgb="FF1A6CA8"/>
      </patternFill>
    </fill>
    <fill>
      <patternFill patternType="solid">
        <fgColor rgb="FFC0392B"/>
      </patternFill>
    </fill>
    <fill>
      <patternFill patternType="solid">
        <fgColor rgb="FFD68910"/>
      </patternFill>
    </fill>
    <fill>
      <patternFill patternType="solid">
        <fgColor rgb="FF27AE60"/>
      </patternFill>
    </fill>
    <fill>
      <patternFill patternType="solid">
        <fgColor rgb="FFF1C40F"/>
      </patternFill>
    </fill>
    <fill>
      <patternFill patternType="solid">
        <fgColor rgb="FFE74C3C"/>
      </patternFill>
    </fill>
  </fills>
  <borders count="4">
    <border>
      <left/>
      <right/>
      <top/>
      <bottom/>
      <diagonal/>
    </border>
    <border>
      <left style="thin">
        <color rgb="FFDDE1E7"/>
      </left>
      <right style="thin">
        <color rgb="FFDDE1E7"/>
      </right>
      <top style="thin">
        <color rgb="FFDDE1E7"/>
      </top>
      <bottom style="thin">
        <color rgb="FFDDE1E7"/>
      </bottom>
      <diagonal/>
    </border>
    <border>
      <left/>
      <right/>
      <top style="thin">
        <color rgb="FFDDE1E7"/>
      </top>
      <bottom style="thin">
        <color rgb="FFDDE1E7"/>
      </bottom>
      <diagonal/>
    </border>
    <border>
      <left/>
      <right style="thin">
        <color rgb="FFDDE1E7"/>
      </right>
      <top style="thin">
        <color rgb="FFDDE1E7"/>
      </top>
      <bottom style="thin">
        <color rgb="FFDDE1E7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6" fillId="0" borderId="0" xfId="0" applyFont="1"/>
    <xf numFmtId="0" fontId="2" fillId="0" borderId="0" xfId="0" applyFont="1"/>
    <xf numFmtId="0" fontId="5" fillId="0" borderId="0" xfId="0" applyFont="1"/>
    <xf numFmtId="0" fontId="10" fillId="9" borderId="1" xfId="0" applyFont="1" applyFill="1" applyBorder="1"/>
    <xf numFmtId="0" fontId="13" fillId="12" borderId="1" xfId="0" applyFont="1" applyFill="1" applyBorder="1"/>
    <xf numFmtId="0" fontId="13" fillId="11" borderId="1" xfId="0" applyFont="1" applyFill="1" applyBorder="1"/>
    <xf numFmtId="164" fontId="14" fillId="11" borderId="1" xfId="0" applyNumberFormat="1" applyFont="1" applyFill="1" applyBorder="1"/>
    <xf numFmtId="0" fontId="16" fillId="0" borderId="0" xfId="0" applyFont="1"/>
    <xf numFmtId="0" fontId="1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5" fillId="0" borderId="1" xfId="0" applyFont="1" applyBorder="1"/>
    <xf numFmtId="1" fontId="0" fillId="0" borderId="0" xfId="0" applyNumberFormat="1"/>
    <xf numFmtId="165" fontId="16" fillId="0" borderId="1" xfId="0" applyNumberFormat="1" applyFont="1" applyBorder="1"/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164" fontId="0" fillId="9" borderId="1" xfId="0" applyNumberFormat="1" applyFill="1" applyBorder="1"/>
    <xf numFmtId="164" fontId="0" fillId="0" borderId="0" xfId="0" applyNumberFormat="1"/>
    <xf numFmtId="0" fontId="16" fillId="4" borderId="1" xfId="0" applyFont="1" applyFill="1" applyBorder="1"/>
    <xf numFmtId="0" fontId="18" fillId="0" borderId="0" xfId="0" applyFont="1"/>
    <xf numFmtId="0" fontId="5" fillId="8" borderId="1" xfId="0" applyFont="1" applyFill="1" applyBorder="1"/>
    <xf numFmtId="0" fontId="5" fillId="3" borderId="1" xfId="0" applyFont="1" applyFill="1" applyBorder="1"/>
    <xf numFmtId="0" fontId="0" fillId="3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4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5" fillId="3" borderId="1" xfId="0" applyNumberFormat="1" applyFont="1" applyFill="1" applyBorder="1"/>
    <xf numFmtId="0" fontId="4" fillId="9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0" fillId="7" borderId="1" xfId="0" applyFill="1" applyBorder="1"/>
    <xf numFmtId="164" fontId="5" fillId="7" borderId="1" xfId="0" applyNumberFormat="1" applyFont="1" applyFill="1" applyBorder="1"/>
    <xf numFmtId="164" fontId="0" fillId="4" borderId="1" xfId="0" applyNumberFormat="1" applyFill="1" applyBorder="1"/>
    <xf numFmtId="0" fontId="4" fillId="0" borderId="1" xfId="0" applyFont="1" applyBorder="1"/>
    <xf numFmtId="164" fontId="10" fillId="9" borderId="1" xfId="0" applyNumberFormat="1" applyFont="1" applyFill="1" applyBorder="1"/>
    <xf numFmtId="165" fontId="4" fillId="0" borderId="1" xfId="0" applyNumberFormat="1" applyFont="1" applyBorder="1" applyAlignment="1">
      <alignment horizontal="center" vertical="center"/>
    </xf>
    <xf numFmtId="0" fontId="0" fillId="4" borderId="1" xfId="0" applyFill="1" applyBorder="1"/>
    <xf numFmtId="0" fontId="5" fillId="9" borderId="1" xfId="0" applyFont="1" applyFill="1" applyBorder="1"/>
    <xf numFmtId="164" fontId="5" fillId="9" borderId="1" xfId="0" applyNumberFormat="1" applyFont="1" applyFill="1" applyBorder="1"/>
    <xf numFmtId="164" fontId="0" fillId="4" borderId="0" xfId="0" applyNumberFormat="1" applyFill="1"/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/>
    <xf numFmtId="0" fontId="7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164" fontId="8" fillId="3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3" borderId="1" xfId="0" applyNumberFormat="1" applyFill="1" applyBorder="1"/>
    <xf numFmtId="0" fontId="5" fillId="10" borderId="1" xfId="0" applyFont="1" applyFill="1" applyBorder="1"/>
    <xf numFmtId="164" fontId="4" fillId="9" borderId="1" xfId="0" applyNumberFormat="1" applyFont="1" applyFill="1" applyBorder="1" applyAlignment="1">
      <alignment horizontal="right" vertical="center"/>
    </xf>
    <xf numFmtId="9" fontId="4" fillId="0" borderId="1" xfId="0" applyNumberFormat="1" applyFont="1" applyBorder="1" applyAlignment="1">
      <alignment horizontal="center" vertical="center"/>
    </xf>
    <xf numFmtId="9" fontId="5" fillId="7" borderId="1" xfId="0" applyNumberFormat="1" applyFont="1" applyFill="1" applyBorder="1"/>
    <xf numFmtId="164" fontId="12" fillId="0" borderId="0" xfId="0" applyNumberFormat="1" applyFont="1"/>
    <xf numFmtId="0" fontId="9" fillId="8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right" vertical="center"/>
    </xf>
    <xf numFmtId="165" fontId="4" fillId="9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/>
    <xf numFmtId="164" fontId="11" fillId="4" borderId="1" xfId="0" applyNumberFormat="1" applyFont="1" applyFill="1" applyBorder="1"/>
    <xf numFmtId="165" fontId="0" fillId="0" borderId="0" xfId="0" applyNumberFormat="1"/>
    <xf numFmtId="165" fontId="4" fillId="0" borderId="1" xfId="0" applyNumberFormat="1" applyFont="1" applyBorder="1" applyAlignment="1">
      <alignment horizontal="left" vertical="center"/>
    </xf>
    <xf numFmtId="165" fontId="5" fillId="7" borderId="1" xfId="0" applyNumberFormat="1" applyFont="1" applyFill="1" applyBorder="1"/>
    <xf numFmtId="165" fontId="8" fillId="0" borderId="0" xfId="0" applyNumberFormat="1" applyFont="1"/>
    <xf numFmtId="0" fontId="6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164" fontId="14" fillId="12" borderId="1" xfId="0" applyNumberFormat="1" applyFont="1" applyFill="1" applyBorder="1"/>
    <xf numFmtId="0" fontId="0" fillId="12" borderId="1" xfId="0" applyFill="1" applyBorder="1"/>
    <xf numFmtId="0" fontId="13" fillId="11" borderId="1" xfId="0" applyFont="1" applyFill="1" applyBorder="1"/>
    <xf numFmtId="0" fontId="0" fillId="11" borderId="1" xfId="0" applyFill="1" applyBorder="1"/>
    <xf numFmtId="0" fontId="19" fillId="0" borderId="0" xfId="0" applyFont="1"/>
    <xf numFmtId="0" fontId="13" fillId="2" borderId="1" xfId="0" applyFont="1" applyFill="1" applyBorder="1"/>
    <xf numFmtId="0" fontId="0" fillId="2" borderId="1" xfId="0" applyFill="1" applyBorder="1"/>
    <xf numFmtId="0" fontId="13" fillId="12" borderId="1" xfId="0" applyFont="1" applyFill="1" applyBorder="1"/>
    <xf numFmtId="0" fontId="13" fillId="13" borderId="1" xfId="0" applyFont="1" applyFill="1" applyBorder="1"/>
    <xf numFmtId="0" fontId="0" fillId="13" borderId="1" xfId="0" applyFill="1" applyBorder="1"/>
    <xf numFmtId="0" fontId="21" fillId="2" borderId="1" xfId="0" applyFont="1" applyFill="1" applyBorder="1" applyAlignment="1">
      <alignment horizontal="center" vertical="center"/>
    </xf>
    <xf numFmtId="0" fontId="22" fillId="13" borderId="1" xfId="0" applyFont="1" applyFill="1" applyBorder="1"/>
    <xf numFmtId="164" fontId="14" fillId="14" borderId="1" xfId="0" applyNumberFormat="1" applyFont="1" applyFill="1" applyBorder="1"/>
    <xf numFmtId="0" fontId="0" fillId="14" borderId="1" xfId="0" applyFill="1" applyBorder="1"/>
    <xf numFmtId="0" fontId="15" fillId="14" borderId="1" xfId="0" applyFont="1" applyFill="1" applyBorder="1"/>
    <xf numFmtId="0" fontId="20" fillId="11" borderId="1" xfId="0" applyFont="1" applyFill="1" applyBorder="1"/>
    <xf numFmtId="164" fontId="14" fillId="11" borderId="1" xfId="0" applyNumberFormat="1" applyFont="1" applyFill="1" applyBorder="1"/>
    <xf numFmtId="0" fontId="13" fillId="14" borderId="1" xfId="0" applyFont="1" applyFill="1" applyBorder="1"/>
    <xf numFmtId="0" fontId="13" fillId="13" borderId="1" xfId="0" applyFont="1" applyFill="1" applyBorder="1" applyAlignment="1">
      <alignment horizontal="left" vertical="center"/>
    </xf>
    <xf numFmtId="164" fontId="14" fillId="13" borderId="1" xfId="0" applyNumberFormat="1" applyFont="1" applyFill="1" applyBorder="1" applyAlignment="1">
      <alignment horizontal="left" vertical="center"/>
    </xf>
    <xf numFmtId="164" fontId="14" fillId="12" borderId="1" xfId="0" applyNumberFormat="1" applyFont="1" applyFill="1" applyBorder="1" applyAlignment="1">
      <alignment horizontal="left" vertical="center"/>
    </xf>
    <xf numFmtId="0" fontId="10" fillId="0" borderId="0" xfId="0" applyFont="1"/>
    <xf numFmtId="0" fontId="0" fillId="6" borderId="1" xfId="0" applyFill="1" applyBorder="1"/>
    <xf numFmtId="0" fontId="0" fillId="8" borderId="1" xfId="0" applyFill="1" applyBorder="1"/>
    <xf numFmtId="0" fontId="13" fillId="2" borderId="1" xfId="0" applyFont="1" applyFill="1" applyBorder="1" applyAlignment="1">
      <alignment horizontal="left" vertical="center"/>
    </xf>
    <xf numFmtId="164" fontId="14" fillId="2" borderId="1" xfId="0" applyNumberFormat="1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3" fillId="12" borderId="1" xfId="0" applyFont="1" applyFill="1" applyBorder="1" applyAlignment="1">
      <alignment horizontal="left" vertical="center"/>
    </xf>
    <xf numFmtId="0" fontId="17" fillId="0" borderId="0" xfId="0" applyFont="1"/>
    <xf numFmtId="164" fontId="14" fillId="14" borderId="1" xfId="0" applyNumberFormat="1" applyFont="1" applyFill="1" applyBorder="1" applyAlignment="1">
      <alignment horizontal="left" vertical="center"/>
    </xf>
    <xf numFmtId="164" fontId="14" fillId="11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/>
    <xf numFmtId="0" fontId="0" fillId="7" borderId="1" xfId="0" applyFill="1" applyBorder="1"/>
    <xf numFmtId="0" fontId="24" fillId="2" borderId="1" xfId="0" applyFont="1" applyFill="1" applyBorder="1" applyAlignment="1">
      <alignment horizontal="center" vertical="center"/>
    </xf>
    <xf numFmtId="0" fontId="23" fillId="12" borderId="1" xfId="0" applyFont="1" applyFill="1" applyBorder="1"/>
    <xf numFmtId="0" fontId="23" fillId="13" borderId="1" xfId="0" applyFont="1" applyFill="1" applyBorder="1"/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5" fillId="2" borderId="1" xfId="0" applyFont="1" applyFill="1" applyBorder="1"/>
  </cellXfs>
  <cellStyles count="1">
    <cellStyle name="Normal" xfId="0" builtinId="0"/>
  </cellStyles>
  <dxfs count="44">
    <dxf>
      <fill>
        <patternFill patternType="solid">
          <fgColor rgb="FFEAFAF1"/>
        </patternFill>
      </fill>
    </dxf>
    <dxf>
      <font>
        <b/>
        <color rgb="FFC0392B"/>
      </font>
      <fill>
        <patternFill patternType="solid">
          <fgColor rgb="FFFDF3F2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FDEBD0"/>
        </patternFill>
      </fill>
    </dxf>
    <dxf>
      <fill>
        <patternFill patternType="solid">
          <fgColor rgb="FFFEF9EC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FDEBD0"/>
        </patternFill>
      </fill>
    </dxf>
    <dxf>
      <fill>
        <patternFill patternType="solid">
          <fgColor rgb="FFFEF9EC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FDEBD0"/>
        </patternFill>
      </fill>
    </dxf>
    <dxf>
      <fill>
        <patternFill patternType="solid">
          <fgColor rgb="FFFEF9EC"/>
        </patternFill>
      </fill>
    </dxf>
    <dxf>
      <fill>
        <patternFill patternType="solid">
          <fgColor rgb="FFEAFAF1"/>
        </patternFill>
      </fill>
    </dxf>
    <dxf>
      <font>
        <b/>
        <color rgb="FFC0392B"/>
      </font>
      <fill>
        <patternFill patternType="solid">
          <fgColor rgb="FFFDF3F2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EF9EC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EF9EC"/>
        </patternFill>
      </fill>
    </dxf>
    <dxf>
      <font>
        <b/>
        <color rgb="FFC0392B"/>
      </font>
    </dxf>
    <dxf>
      <fill>
        <patternFill patternType="solid">
          <fgColor rgb="FFFDF3F2"/>
        </patternFill>
      </fill>
    </dxf>
    <dxf>
      <fill>
        <patternFill patternType="solid">
          <fgColor rgb="FFFEF9EC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FEF9EC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FEF9EC"/>
        </patternFill>
      </fill>
    </dxf>
    <dxf>
      <fill>
        <patternFill patternType="solid">
          <fgColor rgb="FFEAFAF1"/>
        </patternFill>
      </fill>
    </dxf>
    <dxf>
      <fill>
        <patternFill patternType="solid">
          <fgColor rgb="FFFEF9EC"/>
        </patternFill>
      </fill>
    </dxf>
    <dxf>
      <font>
        <b/>
        <sz val="36"/>
        <color rgb="FF1E8449"/>
      </font>
      <fill>
        <patternFill patternType="solid">
          <fgColor rgb="FFEAFAF1"/>
        </patternFill>
      </fill>
    </dxf>
    <dxf>
      <font>
        <b/>
        <sz val="36"/>
        <color rgb="FFD68910"/>
      </font>
      <fill>
        <patternFill patternType="solid">
          <fgColor rgb="FFFEF9EC"/>
        </patternFill>
      </fill>
    </dxf>
    <dxf>
      <font>
        <b/>
        <sz val="36"/>
        <color rgb="FFC0392B"/>
      </font>
      <fill>
        <patternFill patternType="solid">
          <fgColor rgb="FFFDF3F2"/>
        </patternFill>
      </fill>
    </dxf>
    <dxf>
      <fill>
        <patternFill patternType="solid">
          <fgColor rgb="FFFDF3F2"/>
        </patternFill>
      </fill>
    </dxf>
    <dxf>
      <fill>
        <patternFill patternType="solid">
          <fgColor rgb="FFFEF9EC"/>
        </patternFill>
      </fill>
    </dxf>
    <dxf>
      <fill>
        <patternFill patternType="solid">
          <fgColor rgb="FFEAFAF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Evolução das dívidas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Dívida total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Dashboard!$A$25:$A$36</c:f>
              <c:strCache>
                <c:ptCount val="12"/>
                <c:pt idx="0">
                  <c:v>Jul/26</c:v>
                </c:pt>
                <c:pt idx="1">
                  <c:v>Ago/26</c:v>
                </c:pt>
                <c:pt idx="2">
                  <c:v>Set/26</c:v>
                </c:pt>
                <c:pt idx="3">
                  <c:v>Out/26</c:v>
                </c:pt>
                <c:pt idx="4">
                  <c:v>Nov/26</c:v>
                </c:pt>
                <c:pt idx="5">
                  <c:v>Dez/26</c:v>
                </c:pt>
                <c:pt idx="6">
                  <c:v>Jan/27</c:v>
                </c:pt>
                <c:pt idx="7">
                  <c:v>Fev/27</c:v>
                </c:pt>
                <c:pt idx="8">
                  <c:v>Mar/27</c:v>
                </c:pt>
                <c:pt idx="9">
                  <c:v>Abr/27</c:v>
                </c:pt>
                <c:pt idx="10">
                  <c:v>Mai/27</c:v>
                </c:pt>
                <c:pt idx="11">
                  <c:v>Jun/27</c:v>
                </c:pt>
              </c:strCache>
            </c:strRef>
          </c:cat>
          <c:val>
            <c:numRef>
              <c:f>Dashboard!$B$25:$B$36</c:f>
              <c:numCache>
                <c:formatCode>_("R$"* #,##0.00_);_("R$"* \(#,##0.00\);_("R$"* "-"??_);_(@_)</c:formatCode>
                <c:ptCount val="12"/>
                <c:pt idx="0">
                  <c:v>117515</c:v>
                </c:pt>
                <c:pt idx="1">
                  <c:v>112000</c:v>
                </c:pt>
                <c:pt idx="2">
                  <c:v>108500</c:v>
                </c:pt>
                <c:pt idx="3">
                  <c:v>105000</c:v>
                </c:pt>
                <c:pt idx="4">
                  <c:v>98000</c:v>
                </c:pt>
                <c:pt idx="5">
                  <c:v>90000</c:v>
                </c:pt>
                <c:pt idx="6">
                  <c:v>82000</c:v>
                </c:pt>
                <c:pt idx="7">
                  <c:v>72000</c:v>
                </c:pt>
                <c:pt idx="8">
                  <c:v>62000</c:v>
                </c:pt>
                <c:pt idx="9">
                  <c:v>52000</c:v>
                </c:pt>
                <c:pt idx="10">
                  <c:v>42000</c:v>
                </c:pt>
                <c:pt idx="11">
                  <c:v>32000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68-42D0-A393-35C5F4F8E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pt-BR"/>
              <a:t>Evolução do patrimônio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Dashboard!$B$40</c:f>
              <c:strCache>
                <c:ptCount val="1"/>
                <c:pt idx="0">
                  <c:v>PL estimado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Dashboard!$A$41:$A$52</c:f>
              <c:strCache>
                <c:ptCount val="12"/>
                <c:pt idx="0">
                  <c:v>Jul/26</c:v>
                </c:pt>
                <c:pt idx="1">
                  <c:v>Ago/26</c:v>
                </c:pt>
                <c:pt idx="2">
                  <c:v>Set/26</c:v>
                </c:pt>
                <c:pt idx="3">
                  <c:v>Out/26</c:v>
                </c:pt>
                <c:pt idx="4">
                  <c:v>Nov/26</c:v>
                </c:pt>
                <c:pt idx="5">
                  <c:v>Dez/26</c:v>
                </c:pt>
                <c:pt idx="6">
                  <c:v>Jan/27</c:v>
                </c:pt>
                <c:pt idx="7">
                  <c:v>Fev/27</c:v>
                </c:pt>
                <c:pt idx="8">
                  <c:v>Mar/27</c:v>
                </c:pt>
                <c:pt idx="9">
                  <c:v>Abr/27</c:v>
                </c:pt>
                <c:pt idx="10">
                  <c:v>Mai/27</c:v>
                </c:pt>
                <c:pt idx="11">
                  <c:v>Jun/27</c:v>
                </c:pt>
              </c:strCache>
            </c:strRef>
          </c:cat>
          <c:val>
            <c:numRef>
              <c:f>Dashboard!$B$41:$B$52</c:f>
              <c:numCache>
                <c:formatCode>_("R$"* #,##0.00_);_("R$"* \(#,##0.00\);_("R$"* "-"??_);_(@_)</c:formatCode>
                <c:ptCount val="12"/>
                <c:pt idx="0">
                  <c:v>56808</c:v>
                </c:pt>
                <c:pt idx="1">
                  <c:v>52000</c:v>
                </c:pt>
                <c:pt idx="2">
                  <c:v>54000</c:v>
                </c:pt>
                <c:pt idx="3">
                  <c:v>55500</c:v>
                </c:pt>
                <c:pt idx="4">
                  <c:v>62000</c:v>
                </c:pt>
                <c:pt idx="5">
                  <c:v>70000</c:v>
                </c:pt>
                <c:pt idx="6">
                  <c:v>78000</c:v>
                </c:pt>
                <c:pt idx="7">
                  <c:v>90000</c:v>
                </c:pt>
                <c:pt idx="8">
                  <c:v>102000</c:v>
                </c:pt>
                <c:pt idx="9">
                  <c:v>115000</c:v>
                </c:pt>
                <c:pt idx="10">
                  <c:v>128000</c:v>
                </c:pt>
                <c:pt idx="11">
                  <c:v>142000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0F-49D3-A055-37A2AF93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Se aplicar tudo em UMA dívida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Cenarios!$B$50</c:f>
              <c:strCache>
                <c:ptCount val="1"/>
                <c:pt idx="0">
                  <c:v>Economia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Cenarios!$A$51:$A$54</c:f>
              <c:strCache>
                <c:ptCount val="4"/>
                <c:pt idx="0">
                  <c:v>Só Caixa PJ atraso</c:v>
                </c:pt>
                <c:pt idx="1">
                  <c:v>Só Mercado Pago</c:v>
                </c:pt>
                <c:pt idx="2">
                  <c:v>Só Caixa PF</c:v>
                </c:pt>
                <c:pt idx="3">
                  <c:v>Só Nubank amortizar</c:v>
                </c:pt>
              </c:strCache>
            </c:strRef>
          </c:cat>
          <c:val>
            <c:numRef>
              <c:f>Cenarios!$B$51:$B$54</c:f>
              <c:numCache>
                <c:formatCode>_("R$"* #,##0.00_);_("R$"* \(#,##0.00\);_("R$"* "-"??_);_(@_)</c:formatCode>
                <c:ptCount val="4"/>
                <c:pt idx="0">
                  <c:v>0</c:v>
                </c:pt>
                <c:pt idx="1">
                  <c:v>16833.27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F-4C89-866D-19B36706DD47}"/>
            </c:ext>
          </c:extLst>
        </c:ser>
        <c:ser>
          <c:idx val="1"/>
          <c:order val="1"/>
          <c:tx>
            <c:strRef>
              <c:f>Cenarios!$C$50</c:f>
              <c:strCache>
                <c:ptCount val="1"/>
                <c:pt idx="0">
                  <c:v>Juros/mês evitados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Cenarios!$A$51:$A$54</c:f>
              <c:strCache>
                <c:ptCount val="4"/>
                <c:pt idx="0">
                  <c:v>Só Caixa PJ atraso</c:v>
                </c:pt>
                <c:pt idx="1">
                  <c:v>Só Mercado Pago</c:v>
                </c:pt>
                <c:pt idx="2">
                  <c:v>Só Caixa PF</c:v>
                </c:pt>
                <c:pt idx="3">
                  <c:v>Só Nubank amortizar</c:v>
                </c:pt>
              </c:strCache>
            </c:strRef>
          </c:cat>
          <c:val>
            <c:numRef>
              <c:f>Cenarios!$C$51:$C$54</c:f>
              <c:numCache>
                <c:formatCode>_("R$"* #,##0.00_);_("R$"* \(#,##0.00\);_("R$"* "-"??_);_(@_)</c:formatCode>
                <c:ptCount val="4"/>
                <c:pt idx="0">
                  <c:v>178.50000000000003</c:v>
                </c:pt>
                <c:pt idx="1">
                  <c:v>1679.1048000000001</c:v>
                </c:pt>
                <c:pt idx="2">
                  <c:v>0</c:v>
                </c:pt>
                <c:pt idx="3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F-4C89-866D-19B36706D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% do limite total utilizado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Dash_Cartoes!$E$4</c:f>
              <c:strCache>
                <c:ptCount val="1"/>
                <c:pt idx="0">
                  <c:v>Uso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Dash_Cartoes!$A$5:$A$14</c:f>
              <c:strCache>
                <c:ptCount val="10"/>
                <c:pt idx="0">
                  <c:v>Itaú Mãe (+ maquininha)</c:v>
                </c:pt>
                <c:pt idx="1">
                  <c:v>Sam's Club</c:v>
                </c:pt>
                <c:pt idx="2">
                  <c:v>Carrefour Bruna</c:v>
                </c:pt>
                <c:pt idx="3">
                  <c:v>Carrefour Renan</c:v>
                </c:pt>
                <c:pt idx="4">
                  <c:v>Nubank PJ</c:v>
                </c:pt>
                <c:pt idx="5">
                  <c:v>Inter PJ</c:v>
                </c:pt>
                <c:pt idx="6">
                  <c:v>Nubank PF (cartão)</c:v>
                </c:pt>
                <c:pt idx="7">
                  <c:v>Bradesco PF</c:v>
                </c:pt>
                <c:pt idx="8">
                  <c:v>Itaú Gold Bruna</c:v>
                </c:pt>
                <c:pt idx="9">
                  <c:v>Itaú Internacional Bruna</c:v>
                </c:pt>
              </c:strCache>
            </c:strRef>
          </c:cat>
          <c:val>
            <c:numRef>
              <c:f>Dash_Cartoes!$E$5:$E$14</c:f>
              <c:numCache>
                <c:formatCode>0%</c:formatCode>
                <c:ptCount val="10"/>
                <c:pt idx="0">
                  <c:v>0.82432000000000005</c:v>
                </c:pt>
                <c:pt idx="1">
                  <c:v>1.1647534456355284</c:v>
                </c:pt>
                <c:pt idx="2">
                  <c:v>1.111386587771203</c:v>
                </c:pt>
                <c:pt idx="3">
                  <c:v>1.2728653846153846</c:v>
                </c:pt>
                <c:pt idx="4">
                  <c:v>1.1769565857195792</c:v>
                </c:pt>
                <c:pt idx="5">
                  <c:v>0.37140000000000001</c:v>
                </c:pt>
                <c:pt idx="6">
                  <c:v>1.2296051282051281</c:v>
                </c:pt>
                <c:pt idx="7">
                  <c:v>0.50810294117647059</c:v>
                </c:pt>
                <c:pt idx="8">
                  <c:v>0.142625</c:v>
                </c:pt>
                <c:pt idx="9">
                  <c:v>8.5999999999999993E-2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F-4FB0-87EC-D5B43BF5D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Economia ao quitar (R$)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Ranking!$G$4</c:f>
              <c:strCache>
                <c:ptCount val="1"/>
                <c:pt idx="0">
                  <c:v>Economia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Ranking!$B$5:$B$7</c:f>
              <c:strCache>
                <c:ptCount val="3"/>
                <c:pt idx="0">
                  <c:v>Caixa PJ (atraso)</c:v>
                </c:pt>
                <c:pt idx="1">
                  <c:v>Mercado Pago</c:v>
                </c:pt>
                <c:pt idx="2">
                  <c:v>Caixa PF</c:v>
                </c:pt>
              </c:strCache>
            </c:strRef>
          </c:cat>
          <c:val>
            <c:numRef>
              <c:f>Ranking!$G$5:$G$7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16833.27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7-4056-93EC-60EE5054A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Composição dos passivos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Patrimonio!$G$7</c:f>
              <c:strCache>
                <c:ptCount val="1"/>
                <c:pt idx="0">
                  <c:v>Saldo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Patrimonio!$F$8:$F$13</c:f>
              <c:strCache>
                <c:ptCount val="6"/>
                <c:pt idx="0">
                  <c:v>Caixa PJ</c:v>
                </c:pt>
                <c:pt idx="1">
                  <c:v>Nubank PF</c:v>
                </c:pt>
                <c:pt idx="2">
                  <c:v>Mercado Pago</c:v>
                </c:pt>
                <c:pt idx="3">
                  <c:v>Caixa PF</c:v>
                </c:pt>
                <c:pt idx="4">
                  <c:v>Itaú PF (3)</c:v>
                </c:pt>
                <c:pt idx="5">
                  <c:v>Cartões (parcelas futuras)</c:v>
                </c:pt>
              </c:strCache>
            </c:strRef>
          </c:cat>
          <c:val>
            <c:numRef>
              <c:f>Patrimonio!$G$8:$G$13</c:f>
              <c:numCache>
                <c:formatCode>_("R$"* #,##0.00_);_("R$"* \(#,##0.00\);_("R$"* "-"??_);_(@_)</c:formatCode>
                <c:ptCount val="6"/>
                <c:pt idx="0">
                  <c:v>36946.959999999999</c:v>
                </c:pt>
                <c:pt idx="1">
                  <c:v>26974</c:v>
                </c:pt>
                <c:pt idx="2">
                  <c:v>20988.81</c:v>
                </c:pt>
                <c:pt idx="3">
                  <c:v>6540.19</c:v>
                </c:pt>
                <c:pt idx="4">
                  <c:v>22275.19</c:v>
                </c:pt>
                <c:pt idx="5">
                  <c:v>52863.920000000013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A-4169-BE08-77B1B4D585CB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Receita × Despesas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Projecao!$B$4</c:f>
              <c:strCache>
                <c:ptCount val="1"/>
                <c:pt idx="0">
                  <c:v>Compromissos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Projecao!$A$5:$A$16</c:f>
              <c:strCache>
                <c:ptCount val="12"/>
                <c:pt idx="0">
                  <c:v>Jul/26</c:v>
                </c:pt>
                <c:pt idx="1">
                  <c:v>Ago/26</c:v>
                </c:pt>
                <c:pt idx="2">
                  <c:v>Set/26</c:v>
                </c:pt>
                <c:pt idx="3">
                  <c:v>Out/26</c:v>
                </c:pt>
                <c:pt idx="4">
                  <c:v>Nov/26</c:v>
                </c:pt>
                <c:pt idx="5">
                  <c:v>Dez/26</c:v>
                </c:pt>
                <c:pt idx="6">
                  <c:v>Jan/27</c:v>
                </c:pt>
                <c:pt idx="7">
                  <c:v>Fev/27</c:v>
                </c:pt>
                <c:pt idx="8">
                  <c:v>Mar/27</c:v>
                </c:pt>
                <c:pt idx="9">
                  <c:v>Abr/27</c:v>
                </c:pt>
                <c:pt idx="10">
                  <c:v>Mai/27</c:v>
                </c:pt>
                <c:pt idx="11">
                  <c:v>Jun/27</c:v>
                </c:pt>
              </c:strCache>
            </c:strRef>
          </c:cat>
          <c:val>
            <c:numRef>
              <c:f>Projecao!$B$5:$B$16</c:f>
              <c:numCache>
                <c:formatCode>_("R$"* #,##0.00_);_("R$"* \(#,##0.00\);_("R$"* "-"??_);_(@_)</c:formatCode>
                <c:ptCount val="12"/>
                <c:pt idx="0">
                  <c:v>17895</c:v>
                </c:pt>
                <c:pt idx="1">
                  <c:v>20871</c:v>
                </c:pt>
                <c:pt idx="2">
                  <c:v>18153</c:v>
                </c:pt>
                <c:pt idx="3">
                  <c:v>19281</c:v>
                </c:pt>
                <c:pt idx="4">
                  <c:v>13313</c:v>
                </c:pt>
                <c:pt idx="5">
                  <c:v>12813</c:v>
                </c:pt>
                <c:pt idx="6">
                  <c:v>12477</c:v>
                </c:pt>
                <c:pt idx="7">
                  <c:v>8026</c:v>
                </c:pt>
                <c:pt idx="8">
                  <c:v>8026</c:v>
                </c:pt>
                <c:pt idx="9">
                  <c:v>7779</c:v>
                </c:pt>
                <c:pt idx="10">
                  <c:v>7407</c:v>
                </c:pt>
                <c:pt idx="11">
                  <c:v>6007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6E-4EBC-8D50-B15A7375DA5C}"/>
            </c:ext>
          </c:extLst>
        </c:ser>
        <c:ser>
          <c:idx val="1"/>
          <c:order val="1"/>
          <c:tx>
            <c:strRef>
              <c:f>Projecao!$C$4</c:f>
              <c:strCache>
                <c:ptCount val="1"/>
                <c:pt idx="0">
                  <c:v>Renda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Projecao!$A$5:$A$16</c:f>
              <c:strCache>
                <c:ptCount val="12"/>
                <c:pt idx="0">
                  <c:v>Jul/26</c:v>
                </c:pt>
                <c:pt idx="1">
                  <c:v>Ago/26</c:v>
                </c:pt>
                <c:pt idx="2">
                  <c:v>Set/26</c:v>
                </c:pt>
                <c:pt idx="3">
                  <c:v>Out/26</c:v>
                </c:pt>
                <c:pt idx="4">
                  <c:v>Nov/26</c:v>
                </c:pt>
                <c:pt idx="5">
                  <c:v>Dez/26</c:v>
                </c:pt>
                <c:pt idx="6">
                  <c:v>Jan/27</c:v>
                </c:pt>
                <c:pt idx="7">
                  <c:v>Fev/27</c:v>
                </c:pt>
                <c:pt idx="8">
                  <c:v>Mar/27</c:v>
                </c:pt>
                <c:pt idx="9">
                  <c:v>Abr/27</c:v>
                </c:pt>
                <c:pt idx="10">
                  <c:v>Mai/27</c:v>
                </c:pt>
                <c:pt idx="11">
                  <c:v>Jun/27</c:v>
                </c:pt>
              </c:strCache>
            </c:strRef>
          </c:cat>
          <c:val>
            <c:numRef>
              <c:f>Projecao!$C$5:$C$16</c:f>
              <c:numCache>
                <c:formatCode>_("R$"* #,##0.00_);_("R$"* \(#,##0.00\);_("R$"* "-"??_);_(@_)</c:formatCode>
                <c:ptCount val="12"/>
                <c:pt idx="0">
                  <c:v>18097</c:v>
                </c:pt>
                <c:pt idx="1">
                  <c:v>18097</c:v>
                </c:pt>
                <c:pt idx="2">
                  <c:v>18097</c:v>
                </c:pt>
                <c:pt idx="3">
                  <c:v>18097</c:v>
                </c:pt>
                <c:pt idx="4">
                  <c:v>21432.84</c:v>
                </c:pt>
                <c:pt idx="5">
                  <c:v>19973.599999999999</c:v>
                </c:pt>
                <c:pt idx="6">
                  <c:v>18097</c:v>
                </c:pt>
                <c:pt idx="7">
                  <c:v>18097</c:v>
                </c:pt>
                <c:pt idx="8">
                  <c:v>18097</c:v>
                </c:pt>
                <c:pt idx="9">
                  <c:v>18097</c:v>
                </c:pt>
                <c:pt idx="10">
                  <c:v>18097</c:v>
                </c:pt>
                <c:pt idx="11">
                  <c:v>18097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6E-4EBC-8D50-B15A7375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Saldo mensal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Projecao!$D$4</c:f>
              <c:strCache>
                <c:ptCount val="1"/>
                <c:pt idx="0">
                  <c:v>Saldo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Projecao!$A$5:$A$16</c:f>
              <c:strCache>
                <c:ptCount val="12"/>
                <c:pt idx="0">
                  <c:v>Jul/26</c:v>
                </c:pt>
                <c:pt idx="1">
                  <c:v>Ago/26</c:v>
                </c:pt>
                <c:pt idx="2">
                  <c:v>Set/26</c:v>
                </c:pt>
                <c:pt idx="3">
                  <c:v>Out/26</c:v>
                </c:pt>
                <c:pt idx="4">
                  <c:v>Nov/26</c:v>
                </c:pt>
                <c:pt idx="5">
                  <c:v>Dez/26</c:v>
                </c:pt>
                <c:pt idx="6">
                  <c:v>Jan/27</c:v>
                </c:pt>
                <c:pt idx="7">
                  <c:v>Fev/27</c:v>
                </c:pt>
                <c:pt idx="8">
                  <c:v>Mar/27</c:v>
                </c:pt>
                <c:pt idx="9">
                  <c:v>Abr/27</c:v>
                </c:pt>
                <c:pt idx="10">
                  <c:v>Mai/27</c:v>
                </c:pt>
                <c:pt idx="11">
                  <c:v>Jun/27</c:v>
                </c:pt>
              </c:strCache>
            </c:strRef>
          </c:cat>
          <c:val>
            <c:numRef>
              <c:f>Projecao!$D$5:$D$16</c:f>
              <c:numCache>
                <c:formatCode>_("R$"* #,##0.00_);_("R$"* \(#,##0.00\);_("R$"* "-"??_);_(@_)</c:formatCode>
                <c:ptCount val="12"/>
                <c:pt idx="0">
                  <c:v>202</c:v>
                </c:pt>
                <c:pt idx="1">
                  <c:v>-2774</c:v>
                </c:pt>
                <c:pt idx="2">
                  <c:v>-56</c:v>
                </c:pt>
                <c:pt idx="3">
                  <c:v>-1184</c:v>
                </c:pt>
                <c:pt idx="4">
                  <c:v>8119.84</c:v>
                </c:pt>
                <c:pt idx="5">
                  <c:v>7160.5999999999985</c:v>
                </c:pt>
                <c:pt idx="6">
                  <c:v>5620</c:v>
                </c:pt>
                <c:pt idx="7">
                  <c:v>10071</c:v>
                </c:pt>
                <c:pt idx="8">
                  <c:v>10071</c:v>
                </c:pt>
                <c:pt idx="9">
                  <c:v>10318</c:v>
                </c:pt>
                <c:pt idx="10">
                  <c:v>10690</c:v>
                </c:pt>
                <c:pt idx="11">
                  <c:v>12090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C-4598-9BE7-401837DF2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22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38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48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38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10" workbookViewId="0">
      <selection sqref="A1:F1"/>
    </sheetView>
  </sheetViews>
  <sheetFormatPr defaultRowHeight="14.4" x14ac:dyDescent="0.3"/>
  <cols>
    <col min="1" max="1" width="28" customWidth="1"/>
    <col min="2" max="2" width="36" customWidth="1"/>
    <col min="3" max="3" width="20" customWidth="1"/>
    <col min="4" max="4" width="12" customWidth="1"/>
    <col min="5" max="6" width="20" customWidth="1"/>
  </cols>
  <sheetData>
    <row r="1" spans="1:6" ht="28.8" x14ac:dyDescent="0.55000000000000004">
      <c r="A1" s="87" t="str">
        <f ca="1">CONCATENATE(IF(HOUR(NOW())&lt;12,"Bom dia",IF(HOUR(NOW())&lt;18,"Boa tarde","Boa noite")),", Renan")</f>
        <v>Boa tarde, Renan</v>
      </c>
      <c r="B1" s="80"/>
      <c r="C1" s="80"/>
      <c r="D1" s="80"/>
      <c r="E1" s="80"/>
      <c r="F1" s="80"/>
    </row>
    <row r="2" spans="1:6" ht="17.399999999999999" x14ac:dyDescent="0.35">
      <c r="A2" s="79" t="str">
        <f ca="1">CONCATENATE("Hoje é ",TEXT(TODAY(),"DD/MM/"),YEAR(TODAY()),"  ·  ",TEXT(TODAY(),"DDDD"))</f>
        <v>Hoje é 03/08/2026  ·  segunda-feira</v>
      </c>
      <c r="B2" s="80"/>
      <c r="C2" s="80"/>
      <c r="D2" s="80"/>
      <c r="E2" s="80"/>
      <c r="F2" s="80"/>
    </row>
    <row r="3" spans="1:6" x14ac:dyDescent="0.3">
      <c r="A3" s="2" t="s">
        <v>0</v>
      </c>
    </row>
    <row r="5" spans="1:6" ht="23.4" x14ac:dyDescent="0.45">
      <c r="A5" s="3" t="s">
        <v>1</v>
      </c>
      <c r="B5" s="4">
        <v>10</v>
      </c>
      <c r="C5" s="2" t="s">
        <v>2</v>
      </c>
    </row>
    <row r="7" spans="1:6" x14ac:dyDescent="0.3">
      <c r="A7" s="100" t="s">
        <v>3</v>
      </c>
      <c r="B7" s="96"/>
      <c r="C7" s="90" t="s">
        <v>4</v>
      </c>
      <c r="D7" s="84"/>
      <c r="E7" s="85" t="s">
        <v>5</v>
      </c>
      <c r="F7" s="86"/>
    </row>
    <row r="8" spans="1:6" ht="28.05" customHeight="1" x14ac:dyDescent="0.4">
      <c r="A8" s="97" t="str">
        <f>IFERROR(INDEX(Agenda!$B$5:$B$50,MATCH(1,INDEX((Agenda!$A$5:$A$50=$B$5)*(Agenda!$D$5:$D$50="N"),0),0)),"Nada pendente hoje ✓")</f>
        <v>Nada pendente hoje ✓</v>
      </c>
      <c r="B8" s="96"/>
      <c r="C8" s="83">
        <f>IFERROR(INDEX(Fluxo_Diario!$E$7:$E$37,$B$5),Fluxo_Diario!D3)</f>
        <v>-2940.84</v>
      </c>
      <c r="D8" s="84"/>
      <c r="E8" s="98" t="str">
        <f>IF($B$5&lt;15,"15/07 — GFT adiantamento",IF($B$5&lt;30,"30/07 — Olik + GFT","Próximo mês — dia 15"))</f>
        <v>15/07 — GFT adiantamento</v>
      </c>
      <c r="F8" s="86"/>
    </row>
    <row r="9" spans="1:6" ht="28.05" customHeight="1" x14ac:dyDescent="0.55000000000000004">
      <c r="A9" s="95">
        <f>IFERROR(INDEX(Agenda!$C$5:$C$50,MATCH(1,INDEX((Agenda!$A$5:$A$50=$B$5)*(Agenda!$D$5:$D$50="N"),0),0)),0)</f>
        <v>0</v>
      </c>
      <c r="B9" s="96"/>
      <c r="C9" s="84"/>
      <c r="D9" s="84"/>
      <c r="E9" s="99">
        <f>IF($B$5&lt;15,2500,IF($B$5&lt;30,15597.21,2500))</f>
        <v>2500</v>
      </c>
      <c r="F9" s="86"/>
    </row>
    <row r="11" spans="1:6" ht="46.2" x14ac:dyDescent="0.85">
      <c r="A11" s="3" t="s">
        <v>6</v>
      </c>
      <c r="B11" s="8">
        <f>IF($B$5&lt;15,15-$B$5,IF($B$5&lt;30,30-$B$5,"—"))</f>
        <v>5</v>
      </c>
      <c r="C11" s="1" t="s">
        <v>7</v>
      </c>
    </row>
    <row r="13" spans="1:6" x14ac:dyDescent="0.3">
      <c r="A13" s="88" t="s">
        <v>8</v>
      </c>
      <c r="B13" s="89"/>
      <c r="C13" s="91" t="s">
        <v>9</v>
      </c>
      <c r="D13" s="92"/>
      <c r="E13" s="90" t="s">
        <v>10</v>
      </c>
      <c r="F13" s="84"/>
    </row>
    <row r="14" spans="1:6" ht="30" customHeight="1" x14ac:dyDescent="0.3">
      <c r="A14" s="93">
        <f>Dashboard!L2</f>
        <v>420</v>
      </c>
      <c r="B14" s="89"/>
      <c r="C14" s="94" t="str">
        <f>Prioridades!B12</f>
        <v>Cartões</v>
      </c>
      <c r="D14" s="92"/>
      <c r="E14" s="83">
        <f>Prioridades!I3</f>
        <v>100</v>
      </c>
      <c r="F14" s="84"/>
    </row>
    <row r="15" spans="1:6" ht="30" customHeight="1" x14ac:dyDescent="0.3">
      <c r="A15" s="89"/>
      <c r="B15" s="89"/>
      <c r="C15" s="92"/>
      <c r="D15" s="92"/>
      <c r="E15" s="84"/>
      <c r="F15" s="84"/>
    </row>
    <row r="17" spans="1:5" ht="17.399999999999999" x14ac:dyDescent="0.35">
      <c r="A17" s="1" t="s">
        <v>11</v>
      </c>
    </row>
    <row r="18" spans="1:5" x14ac:dyDescent="0.3">
      <c r="A18" s="10" t="s">
        <v>12</v>
      </c>
      <c r="B18" s="10" t="s">
        <v>13</v>
      </c>
      <c r="C18" s="10" t="s">
        <v>14</v>
      </c>
      <c r="D18" s="10" t="s">
        <v>15</v>
      </c>
      <c r="E18" s="10" t="s">
        <v>16</v>
      </c>
    </row>
    <row r="19" spans="1:5" x14ac:dyDescent="0.3">
      <c r="A19" s="11">
        <f>IF(Agenda!A5="","",Agenda!A5)</f>
        <v>3</v>
      </c>
      <c r="B19" s="11" t="str">
        <f>IF(Agenda!A5="","",Agenda!B5)</f>
        <v>Contabilidade</v>
      </c>
      <c r="C19" s="12">
        <f>IF(Agenda!A5="","",Agenda!C5)</f>
        <v>192</v>
      </c>
      <c r="D19" s="11" t="str">
        <f>IF(Agenda!A5="","",Agenda!D5)</f>
        <v>S</v>
      </c>
      <c r="E19" s="11" t="str">
        <f>IF(Agenda!A5="","",Agenda!E5)</f>
        <v>Pago</v>
      </c>
    </row>
    <row r="20" spans="1:5" x14ac:dyDescent="0.3">
      <c r="A20" s="11">
        <f>IF(Agenda!A6="","",Agenda!A6)</f>
        <v>5</v>
      </c>
      <c r="B20" s="11" t="str">
        <f>IF(Agenda!A6="","",Agenda!B6)</f>
        <v>Acordo Caixa PF (entrada antiga — já paga)</v>
      </c>
      <c r="C20" s="12">
        <f>IF(Agenda!A6="","",Agenda!C6)</f>
        <v>766.03</v>
      </c>
      <c r="D20" s="11" t="str">
        <f>IF(Agenda!A6="","",Agenda!D6)</f>
        <v>S</v>
      </c>
      <c r="E20" s="11" t="str">
        <f>IF(Agenda!A6="","",Agenda!E6)</f>
        <v>Pago</v>
      </c>
    </row>
    <row r="21" spans="1:5" x14ac:dyDescent="0.3">
      <c r="A21" s="11">
        <f>IF(Agenda!A7="","",Agenda!A7)</f>
        <v>1</v>
      </c>
      <c r="B21" s="11" t="str">
        <f>IF(Agenda!A7="","",Agenda!B7)</f>
        <v>Bradesco Bruna</v>
      </c>
      <c r="C21" s="12">
        <f>IF(Agenda!A7="","",Agenda!C7)</f>
        <v>933</v>
      </c>
      <c r="D21" s="11" t="str">
        <f>IF(Agenda!A7="","",Agenda!D7)</f>
        <v>S</v>
      </c>
      <c r="E21" s="11" t="str">
        <f>IF(Agenda!A7="","",Agenda!E7)</f>
        <v>Pago</v>
      </c>
    </row>
    <row r="22" spans="1:5" x14ac:dyDescent="0.3">
      <c r="A22" s="11">
        <f>IF(Agenda!A8="","",Agenda!A8)</f>
        <v>5</v>
      </c>
      <c r="B22" s="11" t="str">
        <f>IF(Agenda!A8="","",Agenda!B8)</f>
        <v>Caixa PJ — 1ª parcela</v>
      </c>
      <c r="C22" s="12">
        <f>IF(Agenda!A8="","",Agenda!C8)</f>
        <v>565.51</v>
      </c>
      <c r="D22" s="11" t="str">
        <f>IF(Agenda!A8="","",Agenda!D8)</f>
        <v>S</v>
      </c>
      <c r="E22" s="11" t="str">
        <f>IF(Agenda!A8="","",Agenda!E8)</f>
        <v>Pago</v>
      </c>
    </row>
    <row r="23" spans="1:5" x14ac:dyDescent="0.3">
      <c r="A23" s="11">
        <f>IF(Agenda!A9="","",Agenda!A9)</f>
        <v>5</v>
      </c>
      <c r="B23" s="11" t="str">
        <f>IF(Agenda!A9="","",Agenda!B9)</f>
        <v>Carrefour Bruna (mínimo)</v>
      </c>
      <c r="C23" s="12">
        <f>IF(Agenda!A9="","",Agenda!C9)</f>
        <v>300</v>
      </c>
      <c r="D23" s="11" t="str">
        <f>IF(Agenda!A9="","",Agenda!D9)</f>
        <v>S</v>
      </c>
      <c r="E23" s="11" t="str">
        <f>IF(Agenda!A9="","",Agenda!E9)</f>
        <v>Pago</v>
      </c>
    </row>
    <row r="24" spans="1:5" x14ac:dyDescent="0.3">
      <c r="A24" s="11">
        <f>IF(Agenda!A10="","",Agenda!A10)</f>
        <v>5</v>
      </c>
      <c r="B24" s="11" t="str">
        <f>IF(Agenda!A10="","",Agenda!B10)</f>
        <v>Carrefour Renan (mínimo)</v>
      </c>
      <c r="C24" s="12">
        <f>IF(Agenda!A10="","",Agenda!C10)</f>
        <v>300</v>
      </c>
      <c r="D24" s="11" t="str">
        <f>IF(Agenda!A10="","",Agenda!D10)</f>
        <v>S</v>
      </c>
      <c r="E24" s="11" t="str">
        <f>IF(Agenda!A10="","",Agenda!E10)</f>
        <v>Pago</v>
      </c>
    </row>
    <row r="25" spans="1:5" x14ac:dyDescent="0.3">
      <c r="A25" s="11">
        <f>IF(Agenda!A11="","",Agenda!A11)</f>
        <v>5</v>
      </c>
      <c r="B25" s="11" t="str">
        <f>IF(Agenda!A11="","",Agenda!B11)</f>
        <v>Cartão Mãe (total julho)</v>
      </c>
      <c r="C25" s="12">
        <f>IF(Agenda!A11="","",Agenda!C11)</f>
        <v>4300</v>
      </c>
      <c r="D25" s="11" t="str">
        <f>IF(Agenda!A11="","",Agenda!D11)</f>
        <v>S</v>
      </c>
      <c r="E25" s="11" t="str">
        <f>IF(Agenda!A11="","",Agenda!E11)</f>
        <v>Pago</v>
      </c>
    </row>
    <row r="26" spans="1:5" x14ac:dyDescent="0.3">
      <c r="A26" s="11">
        <f>IF(Agenda!A12="","",Agenda!A12)</f>
        <v>1</v>
      </c>
      <c r="B26" s="11" t="str">
        <f>IF(Agenda!A12="","",Agenda!B12)</f>
        <v>Inter PJ</v>
      </c>
      <c r="C26" s="12">
        <f>IF(Agenda!A12="","",Agenda!C12)</f>
        <v>619</v>
      </c>
      <c r="D26" s="11" t="str">
        <f>IF(Agenda!A12="","",Agenda!D12)</f>
        <v>S</v>
      </c>
      <c r="E26" s="11" t="str">
        <f>IF(Agenda!A12="","",Agenda!E12)</f>
        <v>Pago</v>
      </c>
    </row>
    <row r="28" spans="1:5" ht="17.399999999999999" x14ac:dyDescent="0.35">
      <c r="A28" s="1" t="s">
        <v>17</v>
      </c>
    </row>
    <row r="29" spans="1:5" x14ac:dyDescent="0.3">
      <c r="A29" s="13" t="s">
        <v>18</v>
      </c>
      <c r="B29" s="11" t="s">
        <v>19</v>
      </c>
    </row>
    <row r="30" spans="1:5" x14ac:dyDescent="0.3">
      <c r="A30" s="13" t="s">
        <v>20</v>
      </c>
      <c r="B30" s="11" t="s">
        <v>21</v>
      </c>
    </row>
    <row r="31" spans="1:5" x14ac:dyDescent="0.3">
      <c r="A31" s="13" t="s">
        <v>22</v>
      </c>
      <c r="B31" s="11" t="s">
        <v>23</v>
      </c>
    </row>
    <row r="32" spans="1:5" x14ac:dyDescent="0.3">
      <c r="A32" s="13" t="s">
        <v>24</v>
      </c>
      <c r="B32" s="11" t="s">
        <v>25</v>
      </c>
    </row>
    <row r="33" spans="1:2" x14ac:dyDescent="0.3">
      <c r="A33" s="13" t="s">
        <v>26</v>
      </c>
      <c r="B33" s="11" t="s">
        <v>27</v>
      </c>
    </row>
    <row r="34" spans="1:2" x14ac:dyDescent="0.3">
      <c r="A34" s="13" t="s">
        <v>28</v>
      </c>
      <c r="B34" s="11" t="s">
        <v>29</v>
      </c>
    </row>
  </sheetData>
  <mergeCells count="16">
    <mergeCell ref="E14:F15"/>
    <mergeCell ref="E7:F7"/>
    <mergeCell ref="A1:F1"/>
    <mergeCell ref="A13:B13"/>
    <mergeCell ref="E13:F13"/>
    <mergeCell ref="C13:D13"/>
    <mergeCell ref="A14:B15"/>
    <mergeCell ref="C14:D15"/>
    <mergeCell ref="A9:B9"/>
    <mergeCell ref="A8:B8"/>
    <mergeCell ref="E8:F8"/>
    <mergeCell ref="C8:D9"/>
    <mergeCell ref="A2:F2"/>
    <mergeCell ref="E9:F9"/>
    <mergeCell ref="C7:D7"/>
    <mergeCell ref="A7:B7"/>
  </mergeCells>
  <conditionalFormatting sqref="E19:E26">
    <cfRule type="expression" dxfId="43" priority="1">
      <formula>E19="Pago"</formula>
    </cfRule>
    <cfRule type="expression" dxfId="42" priority="2">
      <formula>E19="Vence hoje"</formula>
    </cfRule>
    <cfRule type="expression" dxfId="41" priority="3">
      <formula>OR(E19="Atrasado",E19="Sem caixa")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"/>
  <sheetViews>
    <sheetView topLeftCell="A28" workbookViewId="0">
      <selection sqref="A1:H1"/>
    </sheetView>
  </sheetViews>
  <sheetFormatPr defaultRowHeight="14.4" x14ac:dyDescent="0.3"/>
  <cols>
    <col min="1" max="1" width="28" customWidth="1"/>
    <col min="2" max="3" width="20" customWidth="1"/>
    <col min="4" max="4" width="16" customWidth="1"/>
    <col min="5" max="5" width="20" customWidth="1"/>
    <col min="6" max="6" width="16" customWidth="1"/>
    <col min="7" max="8" width="12" customWidth="1"/>
  </cols>
  <sheetData>
    <row r="1" spans="1:12" ht="23.4" x14ac:dyDescent="0.45">
      <c r="A1" s="104" t="s">
        <v>30</v>
      </c>
      <c r="B1" s="80"/>
      <c r="C1" s="80"/>
      <c r="D1" s="80"/>
      <c r="E1" s="80"/>
      <c r="F1" s="80"/>
      <c r="G1" s="80"/>
      <c r="H1" s="80"/>
    </row>
    <row r="2" spans="1:12" x14ac:dyDescent="0.3">
      <c r="A2" s="2" t="s">
        <v>31</v>
      </c>
      <c r="K2" t="s">
        <v>32</v>
      </c>
      <c r="L2" s="14">
        <f>B21</f>
        <v>420</v>
      </c>
    </row>
    <row r="4" spans="1:12" x14ac:dyDescent="0.3">
      <c r="A4" s="110" t="s">
        <v>33</v>
      </c>
      <c r="B4" s="86"/>
      <c r="C4" s="101" t="s">
        <v>34</v>
      </c>
      <c r="D4" s="92"/>
      <c r="E4" s="112" t="s">
        <v>35</v>
      </c>
      <c r="F4" s="84"/>
    </row>
    <row r="5" spans="1:12" ht="31.95" customHeight="1" x14ac:dyDescent="0.3">
      <c r="A5" s="115">
        <f>Fluxo_Diario!J5</f>
        <v>18097.21</v>
      </c>
      <c r="B5" s="86"/>
      <c r="C5" s="102">
        <f>Fluxo_Diario!J6</f>
        <v>24967.969999999998</v>
      </c>
      <c r="D5" s="92"/>
      <c r="E5" s="103">
        <f>Fluxo_Diario!J7</f>
        <v>5562.34</v>
      </c>
      <c r="F5" s="84"/>
    </row>
    <row r="6" spans="1:12" x14ac:dyDescent="0.3">
      <c r="A6" s="110" t="s">
        <v>36</v>
      </c>
      <c r="B6" s="86"/>
      <c r="C6" s="101" t="s">
        <v>37</v>
      </c>
      <c r="D6" s="92"/>
      <c r="E6" s="112" t="s">
        <v>38</v>
      </c>
      <c r="F6" s="84"/>
    </row>
    <row r="8" spans="1:12" x14ac:dyDescent="0.3">
      <c r="A8" s="107" t="s">
        <v>39</v>
      </c>
      <c r="B8" s="89"/>
      <c r="C8" s="112" t="s">
        <v>10</v>
      </c>
      <c r="D8" s="84"/>
      <c r="E8" s="109" t="s">
        <v>40</v>
      </c>
      <c r="F8" s="96"/>
    </row>
    <row r="9" spans="1:12" ht="31.95" customHeight="1" x14ac:dyDescent="0.3">
      <c r="A9" s="108">
        <f>Emprestimos!I4</f>
        <v>113725.15000000001</v>
      </c>
      <c r="B9" s="89"/>
      <c r="C9" s="103">
        <f>Prioridades!I3</f>
        <v>100</v>
      </c>
      <c r="D9" s="84"/>
      <c r="E9" s="114">
        <f>Cartoes!V2</f>
        <v>16184.16</v>
      </c>
      <c r="F9" s="96"/>
    </row>
    <row r="10" spans="1:12" x14ac:dyDescent="0.3">
      <c r="A10" s="107" t="s">
        <v>41</v>
      </c>
      <c r="B10" s="89"/>
      <c r="C10" s="112" t="s">
        <v>42</v>
      </c>
      <c r="D10" s="84"/>
      <c r="E10" s="109" t="s">
        <v>43</v>
      </c>
      <c r="F10" s="96"/>
    </row>
    <row r="12" spans="1:12" ht="17.399999999999999" x14ac:dyDescent="0.35">
      <c r="A12" s="79" t="s">
        <v>44</v>
      </c>
      <c r="B12" s="80"/>
      <c r="C12" s="80"/>
      <c r="D12" s="80"/>
    </row>
    <row r="13" spans="1:12" ht="46.2" x14ac:dyDescent="0.85">
      <c r="A13" s="15">
        <f>Projecao!K2</f>
        <v>0.68506801987375532</v>
      </c>
      <c r="B13" s="104" t="str">
        <f>IF(A13&lt;=0.5,"🟢 SAUDÁVEL (até 50%)",IF(A13&lt;=0.7,"🟡 ATENÇÃO (50–70%)","🔴 CRÍTICO (acima de 70%)"))</f>
        <v>🟡 ATENÇÃO (50–70%)</v>
      </c>
      <c r="C13" s="80"/>
      <c r="D13" s="80"/>
    </row>
    <row r="14" spans="1:12" x14ac:dyDescent="0.3">
      <c r="A14" s="3" t="s">
        <v>45</v>
      </c>
      <c r="B14" s="16" t="s">
        <v>46</v>
      </c>
      <c r="C14" s="17" t="s">
        <v>47</v>
      </c>
      <c r="D14" s="18" t="s">
        <v>48</v>
      </c>
    </row>
    <row r="15" spans="1:12" ht="18" x14ac:dyDescent="0.35">
      <c r="A15" t="s">
        <v>49</v>
      </c>
      <c r="B15" s="113" t="str">
        <f>REPT("█",ROUND(MIN(A13,1)*30,0))&amp;REPT("░",30-ROUND(MIN(A13,1)*30,0))</f>
        <v>█████████████████████░░░░░░░░░</v>
      </c>
      <c r="C15" s="80"/>
      <c r="D15" s="80"/>
    </row>
    <row r="17" spans="1:3" ht="17.399999999999999" x14ac:dyDescent="0.35">
      <c r="A17" s="1" t="s">
        <v>8</v>
      </c>
    </row>
    <row r="18" spans="1:3" x14ac:dyDescent="0.3">
      <c r="A18" t="s">
        <v>50</v>
      </c>
      <c r="B18" s="19">
        <v>8500</v>
      </c>
    </row>
    <row r="19" spans="1:3" x14ac:dyDescent="0.3">
      <c r="A19" t="s">
        <v>51</v>
      </c>
      <c r="B19" s="20">
        <f>Emprestimos!I4</f>
        <v>113725.15000000001</v>
      </c>
    </row>
    <row r="20" spans="1:3" x14ac:dyDescent="0.3">
      <c r="A20" t="s">
        <v>52</v>
      </c>
      <c r="B20">
        <f>IF(B18=0,0,ROUNDUP(B19/B18,0))</f>
        <v>14</v>
      </c>
    </row>
    <row r="21" spans="1:3" ht="46.2" x14ac:dyDescent="0.85">
      <c r="A21" t="s">
        <v>53</v>
      </c>
      <c r="B21" s="21">
        <f>B20*30</f>
        <v>420</v>
      </c>
      <c r="C21" s="2" t="s">
        <v>54</v>
      </c>
    </row>
    <row r="23" spans="1:3" ht="17.399999999999999" x14ac:dyDescent="0.35">
      <c r="A23" s="1" t="s">
        <v>55</v>
      </c>
    </row>
    <row r="24" spans="1:3" x14ac:dyDescent="0.3">
      <c r="A24" s="10" t="s">
        <v>56</v>
      </c>
      <c r="B24" s="10" t="s">
        <v>57</v>
      </c>
    </row>
    <row r="25" spans="1:3" x14ac:dyDescent="0.3">
      <c r="A25" s="11" t="s">
        <v>58</v>
      </c>
      <c r="B25" s="19">
        <v>117515</v>
      </c>
      <c r="C25" s="22" t="str">
        <f t="shared" ref="C25:C36" si="0">REPT("█",ROUND(B25/5000,0))</f>
        <v>████████████████████████</v>
      </c>
    </row>
    <row r="26" spans="1:3" x14ac:dyDescent="0.3">
      <c r="A26" s="11" t="s">
        <v>59</v>
      </c>
      <c r="B26" s="19">
        <v>112000</v>
      </c>
      <c r="C26" s="22" t="str">
        <f t="shared" si="0"/>
        <v>██████████████████████</v>
      </c>
    </row>
    <row r="27" spans="1:3" x14ac:dyDescent="0.3">
      <c r="A27" s="11" t="s">
        <v>60</v>
      </c>
      <c r="B27" s="19">
        <v>108500</v>
      </c>
      <c r="C27" s="22" t="str">
        <f t="shared" si="0"/>
        <v>██████████████████████</v>
      </c>
    </row>
    <row r="28" spans="1:3" x14ac:dyDescent="0.3">
      <c r="A28" s="11" t="s">
        <v>61</v>
      </c>
      <c r="B28" s="19">
        <v>105000</v>
      </c>
      <c r="C28" s="22" t="str">
        <f t="shared" si="0"/>
        <v>█████████████████████</v>
      </c>
    </row>
    <row r="29" spans="1:3" x14ac:dyDescent="0.3">
      <c r="A29" s="11" t="s">
        <v>62</v>
      </c>
      <c r="B29" s="19">
        <v>98000</v>
      </c>
      <c r="C29" s="22" t="str">
        <f t="shared" si="0"/>
        <v>████████████████████</v>
      </c>
    </row>
    <row r="30" spans="1:3" x14ac:dyDescent="0.3">
      <c r="A30" s="11" t="s">
        <v>63</v>
      </c>
      <c r="B30" s="19">
        <v>90000</v>
      </c>
      <c r="C30" s="22" t="str">
        <f t="shared" si="0"/>
        <v>██████████████████</v>
      </c>
    </row>
    <row r="31" spans="1:3" x14ac:dyDescent="0.3">
      <c r="A31" s="11" t="s">
        <v>64</v>
      </c>
      <c r="B31" s="19">
        <v>82000</v>
      </c>
      <c r="C31" s="22" t="str">
        <f t="shared" si="0"/>
        <v>████████████████</v>
      </c>
    </row>
    <row r="32" spans="1:3" x14ac:dyDescent="0.3">
      <c r="A32" s="11" t="s">
        <v>65</v>
      </c>
      <c r="B32" s="19">
        <v>72000</v>
      </c>
      <c r="C32" s="22" t="str">
        <f t="shared" si="0"/>
        <v>██████████████</v>
      </c>
    </row>
    <row r="33" spans="1:3" x14ac:dyDescent="0.3">
      <c r="A33" s="11" t="s">
        <v>66</v>
      </c>
      <c r="B33" s="19">
        <v>62000</v>
      </c>
      <c r="C33" s="22" t="str">
        <f t="shared" si="0"/>
        <v>████████████</v>
      </c>
    </row>
    <row r="34" spans="1:3" x14ac:dyDescent="0.3">
      <c r="A34" s="11" t="s">
        <v>67</v>
      </c>
      <c r="B34" s="19">
        <v>52000</v>
      </c>
      <c r="C34" s="22" t="str">
        <f t="shared" si="0"/>
        <v>██████████</v>
      </c>
    </row>
    <row r="35" spans="1:3" x14ac:dyDescent="0.3">
      <c r="A35" s="11" t="s">
        <v>68</v>
      </c>
      <c r="B35" s="19">
        <v>42000</v>
      </c>
      <c r="C35" s="22" t="str">
        <f t="shared" si="0"/>
        <v>████████</v>
      </c>
    </row>
    <row r="36" spans="1:3" x14ac:dyDescent="0.3">
      <c r="A36" s="11" t="s">
        <v>69</v>
      </c>
      <c r="B36" s="19">
        <v>32000</v>
      </c>
      <c r="C36" s="22" t="str">
        <f t="shared" si="0"/>
        <v>██████</v>
      </c>
    </row>
    <row r="39" spans="1:3" ht="17.399999999999999" x14ac:dyDescent="0.35">
      <c r="A39" s="1" t="s">
        <v>70</v>
      </c>
    </row>
    <row r="40" spans="1:3" x14ac:dyDescent="0.3">
      <c r="A40" s="10" t="s">
        <v>56</v>
      </c>
      <c r="B40" s="10" t="s">
        <v>71</v>
      </c>
    </row>
    <row r="41" spans="1:3" x14ac:dyDescent="0.3">
      <c r="A41" s="11" t="s">
        <v>58</v>
      </c>
      <c r="B41" s="19">
        <v>56808</v>
      </c>
    </row>
    <row r="42" spans="1:3" x14ac:dyDescent="0.3">
      <c r="A42" s="11" t="s">
        <v>59</v>
      </c>
      <c r="B42" s="19">
        <v>52000</v>
      </c>
    </row>
    <row r="43" spans="1:3" x14ac:dyDescent="0.3">
      <c r="A43" s="11" t="s">
        <v>60</v>
      </c>
      <c r="B43" s="19">
        <v>54000</v>
      </c>
    </row>
    <row r="44" spans="1:3" x14ac:dyDescent="0.3">
      <c r="A44" s="11" t="s">
        <v>61</v>
      </c>
      <c r="B44" s="19">
        <v>55500</v>
      </c>
    </row>
    <row r="45" spans="1:3" x14ac:dyDescent="0.3">
      <c r="A45" s="11" t="s">
        <v>62</v>
      </c>
      <c r="B45" s="19">
        <v>62000</v>
      </c>
    </row>
    <row r="46" spans="1:3" x14ac:dyDescent="0.3">
      <c r="A46" s="11" t="s">
        <v>63</v>
      </c>
      <c r="B46" s="19">
        <v>70000</v>
      </c>
    </row>
    <row r="47" spans="1:3" x14ac:dyDescent="0.3">
      <c r="A47" s="11" t="s">
        <v>64</v>
      </c>
      <c r="B47" s="19">
        <v>78000</v>
      </c>
    </row>
    <row r="48" spans="1:3" x14ac:dyDescent="0.3">
      <c r="A48" s="11" t="s">
        <v>65</v>
      </c>
      <c r="B48" s="19">
        <v>90000</v>
      </c>
    </row>
    <row r="49" spans="1:8" x14ac:dyDescent="0.3">
      <c r="A49" s="11" t="s">
        <v>66</v>
      </c>
      <c r="B49" s="19">
        <v>102000</v>
      </c>
    </row>
    <row r="50" spans="1:8" x14ac:dyDescent="0.3">
      <c r="A50" s="11" t="s">
        <v>67</v>
      </c>
      <c r="B50" s="19">
        <v>115000</v>
      </c>
    </row>
    <row r="51" spans="1:8" x14ac:dyDescent="0.3">
      <c r="A51" s="11" t="s">
        <v>68</v>
      </c>
      <c r="B51" s="19">
        <v>128000</v>
      </c>
    </row>
    <row r="52" spans="1:8" x14ac:dyDescent="0.3">
      <c r="A52" s="11" t="s">
        <v>69</v>
      </c>
      <c r="B52" s="19">
        <v>142000</v>
      </c>
    </row>
    <row r="54" spans="1:8" ht="17.399999999999999" x14ac:dyDescent="0.35">
      <c r="A54" s="1" t="s">
        <v>72</v>
      </c>
    </row>
    <row r="55" spans="1:8" x14ac:dyDescent="0.3">
      <c r="A55" s="23" t="s">
        <v>73</v>
      </c>
      <c r="B55" s="106" t="s">
        <v>74</v>
      </c>
      <c r="C55" s="106"/>
      <c r="D55" s="106"/>
      <c r="E55" s="106"/>
      <c r="F55" s="106"/>
    </row>
    <row r="56" spans="1:8" x14ac:dyDescent="0.3">
      <c r="A56" s="24" t="s">
        <v>75</v>
      </c>
      <c r="B56" s="111" t="s">
        <v>76</v>
      </c>
      <c r="C56" s="111"/>
      <c r="D56" s="111"/>
      <c r="E56" s="111"/>
      <c r="F56" s="111"/>
    </row>
    <row r="57" spans="1:8" x14ac:dyDescent="0.3">
      <c r="A57" s="26" t="s">
        <v>77</v>
      </c>
      <c r="B57" s="105" t="s">
        <v>78</v>
      </c>
      <c r="C57" s="105"/>
      <c r="D57" s="105"/>
      <c r="E57" s="105"/>
      <c r="F57" s="105"/>
    </row>
    <row r="59" spans="1:8" x14ac:dyDescent="0.3">
      <c r="A59" s="82" t="s">
        <v>79</v>
      </c>
      <c r="B59" s="80"/>
      <c r="C59" s="80"/>
      <c r="D59" s="80"/>
      <c r="E59" s="80"/>
      <c r="F59" s="80"/>
      <c r="G59" s="80"/>
      <c r="H59" s="80"/>
    </row>
  </sheetData>
  <mergeCells count="26">
    <mergeCell ref="A1:H1"/>
    <mergeCell ref="E8:F8"/>
    <mergeCell ref="A6:B6"/>
    <mergeCell ref="B56:F56"/>
    <mergeCell ref="C4:D4"/>
    <mergeCell ref="E4:F4"/>
    <mergeCell ref="C10:D10"/>
    <mergeCell ref="E10:F10"/>
    <mergeCell ref="C9:D9"/>
    <mergeCell ref="B15:D15"/>
    <mergeCell ref="E9:F9"/>
    <mergeCell ref="E6:F6"/>
    <mergeCell ref="A5:B5"/>
    <mergeCell ref="A8:B8"/>
    <mergeCell ref="C8:D8"/>
    <mergeCell ref="A4:B4"/>
    <mergeCell ref="C6:D6"/>
    <mergeCell ref="A59:H59"/>
    <mergeCell ref="C5:D5"/>
    <mergeCell ref="E5:F5"/>
    <mergeCell ref="B13:D13"/>
    <mergeCell ref="B57:F57"/>
    <mergeCell ref="B55:F55"/>
    <mergeCell ref="A12:D12"/>
    <mergeCell ref="A10:B10"/>
    <mergeCell ref="A9:B9"/>
  </mergeCells>
  <conditionalFormatting sqref="A13">
    <cfRule type="cellIs" dxfId="40" priority="1" operator="greaterThan">
      <formula>0.7</formula>
    </cfRule>
    <cfRule type="cellIs" dxfId="39" priority="2" operator="between">
      <formula>0.5</formula>
      <formula>0.7</formula>
    </cfRule>
    <cfRule type="cellIs" dxfId="38" priority="3" operator="lessThan">
      <formula>0.5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pane ySplit="4" topLeftCell="A8" activePane="bottomLeft" state="frozen"/>
      <selection pane="bottomLeft" activeCell="C40" sqref="C40"/>
    </sheetView>
  </sheetViews>
  <sheetFormatPr defaultRowHeight="14.4" x14ac:dyDescent="0.3"/>
  <cols>
    <col min="1" max="1" width="8" customWidth="1"/>
    <col min="2" max="2" width="40" customWidth="1"/>
    <col min="3" max="3" width="20" customWidth="1"/>
    <col min="4" max="4" width="12" customWidth="1"/>
    <col min="5" max="5" width="14" customWidth="1"/>
    <col min="6" max="6" width="16" customWidth="1"/>
  </cols>
  <sheetData>
    <row r="1" spans="1:6" ht="23.4" x14ac:dyDescent="0.45">
      <c r="A1" s="104" t="s">
        <v>80</v>
      </c>
      <c r="B1" s="80"/>
      <c r="C1" s="80"/>
      <c r="D1" s="80"/>
      <c r="E1" s="80"/>
      <c r="F1" s="80"/>
    </row>
    <row r="2" spans="1:6" x14ac:dyDescent="0.3">
      <c r="A2" s="2" t="s">
        <v>81</v>
      </c>
    </row>
    <row r="3" spans="1:6" x14ac:dyDescent="0.3">
      <c r="A3" t="s">
        <v>82</v>
      </c>
      <c r="B3" s="28">
        <f>Inicio!B5</f>
        <v>10</v>
      </c>
    </row>
    <row r="4" spans="1:6" x14ac:dyDescent="0.3">
      <c r="A4" s="10" t="s">
        <v>12</v>
      </c>
      <c r="B4" s="10" t="s">
        <v>13</v>
      </c>
      <c r="C4" s="10" t="s">
        <v>14</v>
      </c>
      <c r="D4" s="10" t="s">
        <v>83</v>
      </c>
      <c r="E4" s="10" t="s">
        <v>16</v>
      </c>
      <c r="F4" s="10" t="s">
        <v>84</v>
      </c>
    </row>
    <row r="5" spans="1:6" x14ac:dyDescent="0.3">
      <c r="A5" s="29">
        <f>IFERROR(INDEX(Contas_Ago_Jan!$B$5:$B$99,MATCH(B5,Contas_Ago_Jan!$A$5:$A$99,0)),3)</f>
        <v>3</v>
      </c>
      <c r="B5" s="30" t="s">
        <v>85</v>
      </c>
      <c r="C5" s="31">
        <v>192</v>
      </c>
      <c r="D5" s="29" t="s">
        <v>86</v>
      </c>
      <c r="E5" s="29" t="str">
        <f t="shared" ref="E5:E31" si="0">IF(D5="S","Pago",IF(A5&lt;$B$3,"Atrasado",IF(A5=$B$3,"Vence hoje",IF(A5=$B$3+1,"Vence amanhã","A vencer"))))</f>
        <v>Pago</v>
      </c>
      <c r="F5" s="30" t="s">
        <v>87</v>
      </c>
    </row>
    <row r="6" spans="1:6" x14ac:dyDescent="0.3">
      <c r="A6" s="29">
        <f>IFERROR(INDEX(Contas_Ago_Jan!$B$5:$B$99,MATCH(B6,Contas_Ago_Jan!$A$5:$A$99,0)),5)</f>
        <v>5</v>
      </c>
      <c r="B6" s="30" t="s">
        <v>88</v>
      </c>
      <c r="C6" s="31">
        <v>766.03</v>
      </c>
      <c r="D6" s="29" t="s">
        <v>86</v>
      </c>
      <c r="E6" s="29" t="str">
        <f t="shared" si="0"/>
        <v>Pago</v>
      </c>
      <c r="F6" s="30" t="s">
        <v>89</v>
      </c>
    </row>
    <row r="7" spans="1:6" x14ac:dyDescent="0.3">
      <c r="A7" s="29">
        <f>IFERROR(INDEX(Contas_Ago_Jan!$B$5:$B$99,MATCH(B7,Contas_Ago_Jan!$A$5:$A$99,0)),5)</f>
        <v>1</v>
      </c>
      <c r="B7" s="30" t="s">
        <v>90</v>
      </c>
      <c r="C7" s="31">
        <v>933</v>
      </c>
      <c r="D7" s="29" t="s">
        <v>86</v>
      </c>
      <c r="E7" s="29" t="str">
        <f t="shared" si="0"/>
        <v>Pago</v>
      </c>
      <c r="F7" s="30" t="s">
        <v>89</v>
      </c>
    </row>
    <row r="8" spans="1:6" x14ac:dyDescent="0.3">
      <c r="A8" s="29">
        <f>IFERROR(INDEX(Contas_Ago_Jan!$B$5:$B$99,MATCH(B8,Contas_Ago_Jan!$A$5:$A$99,0)),5)</f>
        <v>5</v>
      </c>
      <c r="B8" s="30" t="s">
        <v>91</v>
      </c>
      <c r="C8" s="31">
        <v>565.51</v>
      </c>
      <c r="D8" s="29" t="s">
        <v>86</v>
      </c>
      <c r="E8" s="29" t="str">
        <f t="shared" si="0"/>
        <v>Pago</v>
      </c>
      <c r="F8" s="30" t="s">
        <v>89</v>
      </c>
    </row>
    <row r="9" spans="1:6" x14ac:dyDescent="0.3">
      <c r="A9" s="29">
        <f>IFERROR(INDEX(Contas_Ago_Jan!$B$5:$B$99,MATCH(B9,Contas_Ago_Jan!$A$5:$A$99,0)),5)</f>
        <v>5</v>
      </c>
      <c r="B9" s="30" t="s">
        <v>92</v>
      </c>
      <c r="C9" s="31">
        <v>300</v>
      </c>
      <c r="D9" s="29" t="s">
        <v>86</v>
      </c>
      <c r="E9" s="29" t="str">
        <f t="shared" si="0"/>
        <v>Pago</v>
      </c>
      <c r="F9" s="30" t="s">
        <v>89</v>
      </c>
    </row>
    <row r="10" spans="1:6" x14ac:dyDescent="0.3">
      <c r="A10" s="29">
        <f>IFERROR(INDEX(Contas_Ago_Jan!$B$5:$B$99,MATCH(B10,Contas_Ago_Jan!$A$5:$A$99,0)),5)</f>
        <v>5</v>
      </c>
      <c r="B10" s="30" t="s">
        <v>93</v>
      </c>
      <c r="C10" s="31">
        <v>300</v>
      </c>
      <c r="D10" s="29" t="s">
        <v>86</v>
      </c>
      <c r="E10" s="29" t="str">
        <f t="shared" si="0"/>
        <v>Pago</v>
      </c>
      <c r="F10" s="30" t="s">
        <v>89</v>
      </c>
    </row>
    <row r="11" spans="1:6" x14ac:dyDescent="0.3">
      <c r="A11" s="29">
        <f>IFERROR(INDEX(Contas_Ago_Jan!$B$5:$B$99,MATCH(B11,Contas_Ago_Jan!$A$5:$A$99,0)),5)</f>
        <v>5</v>
      </c>
      <c r="B11" s="30" t="s">
        <v>94</v>
      </c>
      <c r="C11" s="31">
        <v>4300</v>
      </c>
      <c r="D11" s="29" t="s">
        <v>86</v>
      </c>
      <c r="E11" s="29" t="str">
        <f t="shared" si="0"/>
        <v>Pago</v>
      </c>
      <c r="F11" s="30" t="s">
        <v>89</v>
      </c>
    </row>
    <row r="12" spans="1:6" x14ac:dyDescent="0.3">
      <c r="A12" s="29">
        <f>IFERROR(INDEX(Contas_Ago_Jan!$B$5:$B$99,MATCH(B12,Contas_Ago_Jan!$A$5:$A$99,0)),5)</f>
        <v>1</v>
      </c>
      <c r="B12" s="30" t="s">
        <v>95</v>
      </c>
      <c r="C12" s="31">
        <v>619</v>
      </c>
      <c r="D12" s="29" t="s">
        <v>86</v>
      </c>
      <c r="E12" s="29" t="str">
        <f t="shared" si="0"/>
        <v>Pago</v>
      </c>
      <c r="F12" s="30" t="s">
        <v>89</v>
      </c>
    </row>
    <row r="13" spans="1:6" x14ac:dyDescent="0.3">
      <c r="A13" s="29">
        <f>IFERROR(INDEX(Contas_Ago_Jan!$B$5:$B$99,MATCH(B13,Contas_Ago_Jan!$A$5:$A$99,0)),5)</f>
        <v>5</v>
      </c>
      <c r="B13" s="30" t="s">
        <v>96</v>
      </c>
      <c r="C13" s="31">
        <v>1353.13</v>
      </c>
      <c r="D13" s="29" t="s">
        <v>86</v>
      </c>
      <c r="E13" s="29" t="str">
        <f t="shared" si="0"/>
        <v>Pago</v>
      </c>
      <c r="F13" s="30" t="s">
        <v>97</v>
      </c>
    </row>
    <row r="14" spans="1:6" x14ac:dyDescent="0.3">
      <c r="A14" s="29">
        <f>IFERROR(INDEX(Contas_Ago_Jan!$B$5:$B$99,MATCH(B14,Contas_Ago_Jan!$A$5:$A$99,0)),5)</f>
        <v>5</v>
      </c>
      <c r="B14" s="30" t="s">
        <v>98</v>
      </c>
      <c r="C14" s="31">
        <v>1256</v>
      </c>
      <c r="D14" s="29" t="s">
        <v>86</v>
      </c>
      <c r="E14" s="29" t="str">
        <f t="shared" si="0"/>
        <v>Pago</v>
      </c>
      <c r="F14" s="30" t="s">
        <v>89</v>
      </c>
    </row>
    <row r="15" spans="1:6" x14ac:dyDescent="0.3">
      <c r="A15" s="29">
        <f>IFERROR(INDEX(Contas_Ago_Jan!$B$5:$B$99,MATCH(B15,Contas_Ago_Jan!$A$5:$A$99,0)),5)</f>
        <v>5</v>
      </c>
      <c r="B15" s="30" t="s">
        <v>99</v>
      </c>
      <c r="C15" s="31">
        <v>300</v>
      </c>
      <c r="D15" s="29" t="s">
        <v>86</v>
      </c>
      <c r="E15" s="29" t="str">
        <f t="shared" si="0"/>
        <v>Pago</v>
      </c>
      <c r="F15" s="30" t="s">
        <v>89</v>
      </c>
    </row>
    <row r="16" spans="1:6" x14ac:dyDescent="0.3">
      <c r="A16" s="29">
        <f>IFERROR(INDEX(Contas_Ago_Jan!$B$5:$B$99,MATCH(B16,Contas_Ago_Jan!$A$5:$A$99,0)),10)</f>
        <v>10</v>
      </c>
      <c r="B16" s="30" t="s">
        <v>100</v>
      </c>
      <c r="C16" s="31">
        <v>527.03</v>
      </c>
      <c r="D16" s="29" t="s">
        <v>86</v>
      </c>
      <c r="E16" s="29" t="str">
        <f t="shared" si="0"/>
        <v>Pago</v>
      </c>
      <c r="F16" s="30" t="s">
        <v>89</v>
      </c>
    </row>
    <row r="17" spans="1:6" x14ac:dyDescent="0.3">
      <c r="A17" s="29">
        <f>IFERROR(INDEX(Contas_Ago_Jan!$B$5:$B$99,MATCH(B17,Contas_Ago_Jan!$A$5:$A$99,0)),10)</f>
        <v>3</v>
      </c>
      <c r="B17" s="30" t="s">
        <v>101</v>
      </c>
      <c r="C17" s="31">
        <v>2280</v>
      </c>
      <c r="D17" s="29" t="s">
        <v>86</v>
      </c>
      <c r="E17" s="29" t="str">
        <f t="shared" si="0"/>
        <v>Pago</v>
      </c>
      <c r="F17" s="30" t="s">
        <v>97</v>
      </c>
    </row>
    <row r="18" spans="1:6" x14ac:dyDescent="0.3">
      <c r="A18" s="29">
        <f>IFERROR(INDEX(Contas_Ago_Jan!$B$5:$B$99,MATCH(B18,Contas_Ago_Jan!$A$5:$A$99,0)),10)</f>
        <v>5</v>
      </c>
      <c r="B18" s="30" t="s">
        <v>102</v>
      </c>
      <c r="C18" s="31">
        <v>385</v>
      </c>
      <c r="D18" s="29" t="s">
        <v>86</v>
      </c>
      <c r="E18" s="29" t="str">
        <f t="shared" si="0"/>
        <v>Pago</v>
      </c>
      <c r="F18" s="30" t="s">
        <v>103</v>
      </c>
    </row>
    <row r="19" spans="1:6" x14ac:dyDescent="0.3">
      <c r="A19" s="29">
        <f>IFERROR(INDEX(Contas_Ago_Jan!$B$5:$B$99,MATCH(B19,Contas_Ago_Jan!$A$5:$A$99,0)),10)</f>
        <v>10</v>
      </c>
      <c r="B19" s="30" t="s">
        <v>104</v>
      </c>
      <c r="C19" s="31">
        <v>558.73</v>
      </c>
      <c r="D19" s="29" t="s">
        <v>86</v>
      </c>
      <c r="E19" s="29" t="str">
        <f t="shared" si="0"/>
        <v>Pago</v>
      </c>
      <c r="F19" s="30" t="s">
        <v>97</v>
      </c>
    </row>
    <row r="20" spans="1:6" x14ac:dyDescent="0.3">
      <c r="A20" s="29">
        <f>IFERROR(INDEX(Contas_Ago_Jan!$B$5:$B$99,MATCH(B20,Contas_Ago_Jan!$A$5:$A$99,0)),10)</f>
        <v>10</v>
      </c>
      <c r="B20" s="30" t="s">
        <v>105</v>
      </c>
      <c r="C20" s="31">
        <v>400.57</v>
      </c>
      <c r="D20" s="29" t="s">
        <v>86</v>
      </c>
      <c r="E20" s="29" t="str">
        <f t="shared" si="0"/>
        <v>Pago</v>
      </c>
      <c r="F20" s="30" t="s">
        <v>97</v>
      </c>
    </row>
    <row r="21" spans="1:6" x14ac:dyDescent="0.3">
      <c r="A21" s="29">
        <f>IFERROR(INDEX(Contas_Ago_Jan!$B$5:$B$99,MATCH(B21,Contas_Ago_Jan!$A$5:$A$99,0)),10)</f>
        <v>10</v>
      </c>
      <c r="B21" s="30" t="s">
        <v>106</v>
      </c>
      <c r="C21" s="31">
        <v>337.94</v>
      </c>
      <c r="D21" s="29" t="s">
        <v>86</v>
      </c>
      <c r="E21" s="29" t="str">
        <f t="shared" si="0"/>
        <v>Pago</v>
      </c>
      <c r="F21" s="30" t="s">
        <v>97</v>
      </c>
    </row>
    <row r="22" spans="1:6" x14ac:dyDescent="0.3">
      <c r="A22" s="29">
        <f>IFERROR(INDEX(Contas_Ago_Jan!$B$5:$B$99,MATCH(B22,Contas_Ago_Jan!$A$5:$A$99,0)),13)</f>
        <v>13</v>
      </c>
      <c r="B22" s="30" t="s">
        <v>107</v>
      </c>
      <c r="C22" s="31">
        <v>276.64</v>
      </c>
      <c r="D22" s="29" t="s">
        <v>86</v>
      </c>
      <c r="E22" s="29" t="str">
        <f t="shared" si="0"/>
        <v>Pago</v>
      </c>
      <c r="F22" s="30" t="s">
        <v>89</v>
      </c>
    </row>
    <row r="23" spans="1:6" x14ac:dyDescent="0.3">
      <c r="A23" s="29">
        <f>IFERROR(INDEX(Contas_Ago_Jan!$B$5:$B$99,MATCH(B23,Contas_Ago_Jan!$A$5:$A$99,0)),14)</f>
        <v>14</v>
      </c>
      <c r="B23" s="30" t="s">
        <v>108</v>
      </c>
      <c r="C23" s="31">
        <v>400.2</v>
      </c>
      <c r="D23" s="29" t="s">
        <v>86</v>
      </c>
      <c r="E23" s="29" t="str">
        <f t="shared" si="0"/>
        <v>Pago</v>
      </c>
      <c r="F23" s="30" t="s">
        <v>89</v>
      </c>
    </row>
    <row r="24" spans="1:6" x14ac:dyDescent="0.3">
      <c r="A24" s="29">
        <f>IFERROR(INDEX(Contas_Ago_Jan!$B$5:$B$99,MATCH(B24,Contas_Ago_Jan!$A$5:$A$99,0)),15)</f>
        <v>15</v>
      </c>
      <c r="B24" s="30" t="s">
        <v>109</v>
      </c>
      <c r="C24" s="31">
        <v>696.49</v>
      </c>
      <c r="D24" s="29" t="s">
        <v>110</v>
      </c>
      <c r="E24" s="29" t="str">
        <f t="shared" si="0"/>
        <v>A vencer</v>
      </c>
      <c r="F24" s="30" t="s">
        <v>89</v>
      </c>
    </row>
    <row r="25" spans="1:6" x14ac:dyDescent="0.3">
      <c r="A25" s="29">
        <f>IFERROR(INDEX(Contas_Ago_Jan!$B$5:$B$99,MATCH(B25,Contas_Ago_Jan!$A$5:$A$99,0)),15)</f>
        <v>5</v>
      </c>
      <c r="B25" s="30" t="s">
        <v>111</v>
      </c>
      <c r="C25" s="31">
        <v>336</v>
      </c>
      <c r="D25" s="29" t="s">
        <v>86</v>
      </c>
      <c r="E25" s="29" t="str">
        <f t="shared" si="0"/>
        <v>Pago</v>
      </c>
      <c r="F25" s="30" t="s">
        <v>112</v>
      </c>
    </row>
    <row r="26" spans="1:6" x14ac:dyDescent="0.3">
      <c r="A26" s="29">
        <f>IFERROR(INDEX(Contas_Ago_Jan!$B$5:$B$99,MATCH(B26,Contas_Ago_Jan!$A$5:$A$99,0)),16)</f>
        <v>16</v>
      </c>
      <c r="B26" s="30" t="s">
        <v>113</v>
      </c>
      <c r="C26" s="31">
        <v>500</v>
      </c>
      <c r="D26" s="29" t="s">
        <v>86</v>
      </c>
      <c r="E26" s="29" t="str">
        <f t="shared" si="0"/>
        <v>Pago</v>
      </c>
      <c r="F26" s="30" t="s">
        <v>114</v>
      </c>
    </row>
    <row r="27" spans="1:6" x14ac:dyDescent="0.3">
      <c r="A27" s="29">
        <f>IFERROR(INDEX(Contas_Ago_Jan!$B$5:$B$99,MATCH(B27,Contas_Ago_Jan!$A$5:$A$99,0)),20)</f>
        <v>15</v>
      </c>
      <c r="B27" s="30" t="s">
        <v>115</v>
      </c>
      <c r="C27" s="31">
        <v>3200</v>
      </c>
      <c r="D27" s="29" t="s">
        <v>86</v>
      </c>
      <c r="E27" s="29" t="str">
        <f t="shared" si="0"/>
        <v>Pago</v>
      </c>
      <c r="F27" s="30" t="s">
        <v>116</v>
      </c>
    </row>
    <row r="28" spans="1:6" x14ac:dyDescent="0.3">
      <c r="A28" s="29">
        <f>IFERROR(INDEX(Contas_Ago_Jan!$B$5:$B$99,MATCH(B28,Contas_Ago_Jan!$A$5:$A$99,0)),20)</f>
        <v>20</v>
      </c>
      <c r="B28" s="30" t="s">
        <v>117</v>
      </c>
      <c r="C28" s="31">
        <v>685.53</v>
      </c>
      <c r="D28" s="29" t="s">
        <v>110</v>
      </c>
      <c r="E28" s="29" t="str">
        <f t="shared" si="0"/>
        <v>A vencer</v>
      </c>
      <c r="F28" s="30" t="s">
        <v>118</v>
      </c>
    </row>
    <row r="29" spans="1:6" x14ac:dyDescent="0.3">
      <c r="A29" s="29">
        <f>IFERROR(INDEX(Contas_Ago_Jan!$B$5:$B$99,MATCH(B29,Contas_Ago_Jan!$A$5:$A$99,0)),23)</f>
        <v>23</v>
      </c>
      <c r="B29" s="30" t="s">
        <v>119</v>
      </c>
      <c r="C29" s="31">
        <v>1906.55</v>
      </c>
      <c r="D29" s="29" t="s">
        <v>86</v>
      </c>
      <c r="E29" s="29" t="str">
        <f t="shared" si="0"/>
        <v>Pago</v>
      </c>
      <c r="F29" s="30" t="s">
        <v>89</v>
      </c>
    </row>
    <row r="30" spans="1:6" x14ac:dyDescent="0.3">
      <c r="A30" s="29">
        <f>IFERROR(INDEX(Contas_Ago_Jan!$B$5:$B$99,MATCH(B30,Contas_Ago_Jan!$A$5:$A$99,0)),25)</f>
        <v>15</v>
      </c>
      <c r="B30" s="30" t="s">
        <v>120</v>
      </c>
      <c r="C30" s="31">
        <v>371.62</v>
      </c>
      <c r="D30" s="29" t="s">
        <v>110</v>
      </c>
      <c r="E30" s="29" t="str">
        <f t="shared" si="0"/>
        <v>A vencer</v>
      </c>
      <c r="F30" s="30" t="s">
        <v>121</v>
      </c>
    </row>
    <row r="31" spans="1:6" x14ac:dyDescent="0.3">
      <c r="A31" s="29">
        <f>IFERROR(INDEX(Contas_Ago_Jan!$B$5:$B$99,MATCH(B31,Contas_Ago_Jan!$A$5:$A$99,0)),30)</f>
        <v>30</v>
      </c>
      <c r="B31" s="30" t="s">
        <v>122</v>
      </c>
      <c r="C31" s="31">
        <v>388.03</v>
      </c>
      <c r="D31" s="29" t="s">
        <v>110</v>
      </c>
      <c r="E31" s="29" t="str">
        <f t="shared" si="0"/>
        <v>A vencer</v>
      </c>
      <c r="F31" s="30" t="s">
        <v>123</v>
      </c>
    </row>
    <row r="33" spans="1:6" ht="17.399999999999999" x14ac:dyDescent="0.35">
      <c r="A33" s="79" t="s">
        <v>124</v>
      </c>
      <c r="B33" s="80"/>
      <c r="C33" s="80"/>
      <c r="D33" s="80"/>
      <c r="E33" s="80"/>
      <c r="F33" s="80"/>
    </row>
    <row r="34" spans="1:6" x14ac:dyDescent="0.3">
      <c r="A34" s="10" t="s">
        <v>12</v>
      </c>
      <c r="B34" s="10" t="s">
        <v>13</v>
      </c>
      <c r="C34" s="10" t="s">
        <v>14</v>
      </c>
      <c r="D34" s="10" t="s">
        <v>83</v>
      </c>
      <c r="E34" s="10" t="s">
        <v>16</v>
      </c>
      <c r="F34" s="10" t="s">
        <v>84</v>
      </c>
    </row>
    <row r="35" spans="1:6" x14ac:dyDescent="0.3">
      <c r="A35" s="29">
        <f>IFERROR(INDEX(Contas_Ago_Jan!$B$5:$B$99,MATCH("IRPF",Contas_Ago_Jan!$A$5:$A$99,0)),30)</f>
        <v>30</v>
      </c>
      <c r="B35" s="30" t="s">
        <v>125</v>
      </c>
      <c r="C35" s="31">
        <v>388.03</v>
      </c>
      <c r="D35" s="29" t="s">
        <v>110</v>
      </c>
      <c r="E35" s="29" t="str">
        <f t="shared" ref="E35:E40" si="1">IF(D35="S","Pago","A vencer")</f>
        <v>A vencer</v>
      </c>
      <c r="F35" s="30" t="s">
        <v>123</v>
      </c>
    </row>
    <row r="36" spans="1:6" x14ac:dyDescent="0.3">
      <c r="A36" s="29">
        <f>IFERROR(INDEX(Contas_Ago_Jan!$B$5:$B$99,MATCH("IRPF",Contas_Ago_Jan!$A$5:$A$99,0)),30)</f>
        <v>30</v>
      </c>
      <c r="B36" s="30" t="s">
        <v>126</v>
      </c>
      <c r="C36" s="31">
        <v>388.03</v>
      </c>
      <c r="D36" s="29" t="s">
        <v>110</v>
      </c>
      <c r="E36" s="29" t="str">
        <f t="shared" si="1"/>
        <v>A vencer</v>
      </c>
      <c r="F36" s="30" t="s">
        <v>123</v>
      </c>
    </row>
    <row r="37" spans="1:6" x14ac:dyDescent="0.3">
      <c r="A37" s="29">
        <f>IFERROR(INDEX(Contas_Ago_Jan!$B$5:$B$99,MATCH("IRPF",Contas_Ago_Jan!$A$5:$A$99,0)),30)</f>
        <v>30</v>
      </c>
      <c r="B37" s="30" t="s">
        <v>127</v>
      </c>
      <c r="C37" s="31">
        <v>388.03</v>
      </c>
      <c r="D37" s="29" t="s">
        <v>110</v>
      </c>
      <c r="E37" s="29" t="str">
        <f t="shared" si="1"/>
        <v>A vencer</v>
      </c>
      <c r="F37" s="30" t="s">
        <v>123</v>
      </c>
    </row>
    <row r="38" spans="1:6" x14ac:dyDescent="0.3">
      <c r="A38" s="29">
        <f>IFERROR(INDEX(Contas_Ago_Jan!$B$5:$B$99,MATCH("IRPF",Contas_Ago_Jan!$A$5:$A$99,0)),30)</f>
        <v>30</v>
      </c>
      <c r="B38" s="30" t="s">
        <v>128</v>
      </c>
      <c r="C38" s="31">
        <v>388.03</v>
      </c>
      <c r="D38" s="29" t="s">
        <v>110</v>
      </c>
      <c r="E38" s="29" t="str">
        <f t="shared" si="1"/>
        <v>A vencer</v>
      </c>
      <c r="F38" s="30" t="s">
        <v>123</v>
      </c>
    </row>
    <row r="39" spans="1:6" x14ac:dyDescent="0.3">
      <c r="A39" s="29">
        <f>IFERROR(INDEX(Contas_Ago_Jan!$B$5:$B$99,MATCH("IRPF",Contas_Ago_Jan!$A$5:$A$99,0)),30)</f>
        <v>30</v>
      </c>
      <c r="B39" s="30" t="s">
        <v>129</v>
      </c>
      <c r="C39" s="31">
        <v>388.03</v>
      </c>
      <c r="D39" s="29" t="s">
        <v>110</v>
      </c>
      <c r="E39" s="29" t="str">
        <f t="shared" si="1"/>
        <v>A vencer</v>
      </c>
      <c r="F39" s="30" t="s">
        <v>123</v>
      </c>
    </row>
    <row r="40" spans="1:6" x14ac:dyDescent="0.3">
      <c r="A40" s="29">
        <f>IFERROR(INDEX(Contas_Ago_Jan!$B$5:$B$99,MATCH("IRPF",Contas_Ago_Jan!$A$5:$A$99,0)),30)</f>
        <v>30</v>
      </c>
      <c r="B40" s="30" t="s">
        <v>130</v>
      </c>
      <c r="C40" s="31">
        <v>388.03</v>
      </c>
      <c r="D40" s="29" t="s">
        <v>110</v>
      </c>
      <c r="E40" s="29" t="str">
        <f t="shared" si="1"/>
        <v>A vencer</v>
      </c>
      <c r="F40" s="30" t="s">
        <v>123</v>
      </c>
    </row>
    <row r="41" spans="1:6" x14ac:dyDescent="0.3">
      <c r="A41" s="24" t="s">
        <v>131</v>
      </c>
      <c r="B41" s="25"/>
      <c r="C41" s="32">
        <f>SUMIF(D5:D31,"N",C5:C31)+SUMIF(D35:D40,"N",C35:C40)</f>
        <v>4469.8500000000004</v>
      </c>
      <c r="D41" s="25"/>
      <c r="E41" s="25"/>
      <c r="F41" s="25"/>
    </row>
  </sheetData>
  <mergeCells count="2">
    <mergeCell ref="A33:F33"/>
    <mergeCell ref="A1:F1"/>
  </mergeCells>
  <conditionalFormatting sqref="A35:B40 D35:F40">
    <cfRule type="expression" dxfId="37" priority="23">
      <formula>$E35="A vencer"</formula>
    </cfRule>
  </conditionalFormatting>
  <conditionalFormatting sqref="A5:F31">
    <cfRule type="expression" dxfId="36" priority="19">
      <formula>$E5="Pago"</formula>
    </cfRule>
    <cfRule type="expression" dxfId="35" priority="20">
      <formula>OR($E5="Vence hoje",$E5="Vence amanhã")</formula>
    </cfRule>
    <cfRule type="expression" dxfId="34" priority="21">
      <formula>$E5="Atrasado"</formula>
    </cfRule>
  </conditionalFormatting>
  <conditionalFormatting sqref="A35:F40">
    <cfRule type="expression" dxfId="33" priority="1">
      <formula>$E35="Pago"</formula>
    </cfRule>
  </conditionalFormatting>
  <conditionalFormatting sqref="C35:C40">
    <cfRule type="expression" dxfId="32" priority="2">
      <formula>OR($E35="Vence hoje",$E35="Vence amanhã")</formula>
    </cfRule>
    <cfRule type="expression" dxfId="31" priority="3">
      <formula>$E35="Atrasado"</formula>
    </cfRule>
  </conditionalFormatting>
  <dataValidations count="1">
    <dataValidation type="list" allowBlank="1" sqref="D5:D31 D35:D40" xr:uid="{00000000-0002-0000-0200-000000000000}">
      <formula1>"S,N"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26" sqref="C26"/>
    </sheetView>
  </sheetViews>
  <sheetFormatPr defaultRowHeight="14.4" x14ac:dyDescent="0.3"/>
  <cols>
    <col min="1" max="1" width="38" customWidth="1"/>
    <col min="2" max="2" width="12" customWidth="1"/>
    <col min="3" max="9" width="20" customWidth="1"/>
    <col min="10" max="10" width="16" customWidth="1"/>
    <col min="11" max="11" width="14" customWidth="1"/>
    <col min="12" max="12" width="60" customWidth="1"/>
  </cols>
  <sheetData>
    <row r="1" spans="1:12" ht="21" x14ac:dyDescent="0.4">
      <c r="A1" s="81" t="s">
        <v>132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x14ac:dyDescent="0.3">
      <c r="A2" s="82" t="s">
        <v>133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4" spans="1:12" x14ac:dyDescent="0.3">
      <c r="A4" s="10" t="s">
        <v>13</v>
      </c>
      <c r="B4" s="10" t="s">
        <v>12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134</v>
      </c>
      <c r="J4" s="10" t="s">
        <v>135</v>
      </c>
      <c r="K4" s="10" t="s">
        <v>83</v>
      </c>
      <c r="L4" s="10" t="s">
        <v>136</v>
      </c>
    </row>
    <row r="5" spans="1:12" x14ac:dyDescent="0.3">
      <c r="A5" s="30" t="s">
        <v>90</v>
      </c>
      <c r="B5" s="33">
        <v>1</v>
      </c>
      <c r="C5" s="31">
        <v>419</v>
      </c>
      <c r="D5" s="31">
        <v>1100</v>
      </c>
      <c r="E5" s="31">
        <v>1100</v>
      </c>
      <c r="F5" s="31">
        <v>1100</v>
      </c>
      <c r="G5" s="31">
        <v>1100</v>
      </c>
      <c r="H5" s="31">
        <v>1100</v>
      </c>
      <c r="I5" s="34">
        <f t="shared" ref="I5:I30" si="0">SUM(C5:H5)</f>
        <v>5919</v>
      </c>
      <c r="J5" s="29" t="s">
        <v>137</v>
      </c>
      <c r="K5" s="33" t="s">
        <v>86</v>
      </c>
      <c r="L5" s="30" t="s">
        <v>138</v>
      </c>
    </row>
    <row r="6" spans="1:12" x14ac:dyDescent="0.3">
      <c r="A6" s="35" t="s">
        <v>139</v>
      </c>
      <c r="B6" s="33">
        <v>1</v>
      </c>
      <c r="C6" s="36">
        <v>567.74</v>
      </c>
      <c r="D6" s="36">
        <v>575.21</v>
      </c>
      <c r="E6" s="36">
        <v>582.73</v>
      </c>
      <c r="F6" s="36">
        <v>1038.67</v>
      </c>
      <c r="G6" s="36">
        <v>1010.18</v>
      </c>
      <c r="H6" s="36">
        <v>981.12</v>
      </c>
      <c r="I6" s="37">
        <f t="shared" si="0"/>
        <v>4755.6500000000005</v>
      </c>
      <c r="J6" s="38" t="s">
        <v>140</v>
      </c>
      <c r="K6" s="33" t="s">
        <v>110</v>
      </c>
      <c r="L6" s="35" t="s">
        <v>141</v>
      </c>
    </row>
    <row r="7" spans="1:12" x14ac:dyDescent="0.3">
      <c r="A7" s="30" t="s">
        <v>142</v>
      </c>
      <c r="B7" s="33">
        <v>1</v>
      </c>
      <c r="C7" s="31">
        <v>1956.45</v>
      </c>
      <c r="D7" s="31">
        <v>1292.75</v>
      </c>
      <c r="E7" s="31">
        <v>1292.75</v>
      </c>
      <c r="F7" s="31">
        <v>392.75</v>
      </c>
      <c r="G7" s="31">
        <v>392.75</v>
      </c>
      <c r="H7" s="31">
        <v>392.75</v>
      </c>
      <c r="I7" s="34">
        <f t="shared" si="0"/>
        <v>5720.2</v>
      </c>
      <c r="J7" s="29" t="s">
        <v>137</v>
      </c>
      <c r="K7" s="33" t="s">
        <v>86</v>
      </c>
      <c r="L7" s="30" t="s">
        <v>143</v>
      </c>
    </row>
    <row r="8" spans="1:12" x14ac:dyDescent="0.3">
      <c r="A8" s="35" t="s">
        <v>144</v>
      </c>
      <c r="B8" s="33">
        <v>1</v>
      </c>
      <c r="C8" s="36">
        <v>1340.88</v>
      </c>
      <c r="D8" s="36">
        <v>1200.1099999999999</v>
      </c>
      <c r="E8" s="36">
        <v>520.78</v>
      </c>
      <c r="F8" s="36">
        <v>520.78</v>
      </c>
      <c r="G8" s="36">
        <v>520.78</v>
      </c>
      <c r="H8" s="36">
        <v>520.78</v>
      </c>
      <c r="I8" s="37">
        <f t="shared" si="0"/>
        <v>4624.1099999999988</v>
      </c>
      <c r="J8" s="38" t="s">
        <v>137</v>
      </c>
      <c r="K8" s="33" t="s">
        <v>86</v>
      </c>
      <c r="L8" s="35" t="s">
        <v>143</v>
      </c>
    </row>
    <row r="9" spans="1:12" x14ac:dyDescent="0.3">
      <c r="A9" s="30" t="s">
        <v>145</v>
      </c>
      <c r="B9" s="33">
        <v>1</v>
      </c>
      <c r="C9" s="31">
        <v>2612</v>
      </c>
      <c r="D9" s="31">
        <v>1158.96</v>
      </c>
      <c r="E9" s="31">
        <v>800</v>
      </c>
      <c r="F9" s="31">
        <v>800</v>
      </c>
      <c r="G9" s="31">
        <v>800</v>
      </c>
      <c r="H9" s="31">
        <v>800</v>
      </c>
      <c r="I9" s="34">
        <f t="shared" si="0"/>
        <v>6970.96</v>
      </c>
      <c r="J9" s="29" t="s">
        <v>137</v>
      </c>
      <c r="K9" s="33" t="s">
        <v>86</v>
      </c>
      <c r="L9" s="30" t="s">
        <v>146</v>
      </c>
    </row>
    <row r="10" spans="1:12" x14ac:dyDescent="0.3">
      <c r="A10" s="35" t="s">
        <v>95</v>
      </c>
      <c r="B10" s="33">
        <v>1</v>
      </c>
      <c r="C10" s="36">
        <v>619</v>
      </c>
      <c r="D10" s="36">
        <v>619</v>
      </c>
      <c r="E10" s="36">
        <v>619</v>
      </c>
      <c r="F10" s="36">
        <v>0</v>
      </c>
      <c r="G10" s="36">
        <v>0</v>
      </c>
      <c r="H10" s="36">
        <v>0</v>
      </c>
      <c r="I10" s="37">
        <f t="shared" si="0"/>
        <v>1857</v>
      </c>
      <c r="J10" s="38" t="s">
        <v>137</v>
      </c>
      <c r="K10" s="33" t="s">
        <v>110</v>
      </c>
      <c r="L10" s="35" t="s">
        <v>147</v>
      </c>
    </row>
    <row r="11" spans="1:12" x14ac:dyDescent="0.3">
      <c r="A11" s="30" t="s">
        <v>148</v>
      </c>
      <c r="B11" s="33">
        <v>1</v>
      </c>
      <c r="C11" s="31">
        <v>191.5</v>
      </c>
      <c r="D11" s="31">
        <v>215.54</v>
      </c>
      <c r="E11" s="31">
        <v>215.54</v>
      </c>
      <c r="F11" s="31">
        <v>215.54</v>
      </c>
      <c r="G11" s="31">
        <v>215.54</v>
      </c>
      <c r="H11" s="31">
        <v>215.54</v>
      </c>
      <c r="I11" s="34">
        <f t="shared" si="0"/>
        <v>1269.1999999999998</v>
      </c>
      <c r="J11" s="29" t="s">
        <v>137</v>
      </c>
      <c r="K11" s="33" t="s">
        <v>86</v>
      </c>
      <c r="L11" s="30" t="s">
        <v>149</v>
      </c>
    </row>
    <row r="12" spans="1:12" x14ac:dyDescent="0.3">
      <c r="A12" s="35" t="s">
        <v>150</v>
      </c>
      <c r="B12" s="33">
        <v>1</v>
      </c>
      <c r="C12" s="36">
        <v>1276</v>
      </c>
      <c r="D12" s="36">
        <v>1091.78</v>
      </c>
      <c r="E12" s="36">
        <v>1091.78</v>
      </c>
      <c r="F12" s="36">
        <v>135.78</v>
      </c>
      <c r="G12" s="36">
        <v>135.78</v>
      </c>
      <c r="H12" s="36">
        <v>135.78</v>
      </c>
      <c r="I12" s="37">
        <f t="shared" si="0"/>
        <v>3866.9</v>
      </c>
      <c r="J12" s="38" t="s">
        <v>137</v>
      </c>
      <c r="K12" s="33" t="s">
        <v>86</v>
      </c>
      <c r="L12" s="35" t="s">
        <v>149</v>
      </c>
    </row>
    <row r="13" spans="1:12" x14ac:dyDescent="0.3">
      <c r="A13" s="30" t="s">
        <v>151</v>
      </c>
      <c r="B13" s="33">
        <v>1</v>
      </c>
      <c r="C13" s="31">
        <v>258</v>
      </c>
      <c r="D13" s="31">
        <v>258</v>
      </c>
      <c r="E13" s="31">
        <v>258</v>
      </c>
      <c r="F13" s="31">
        <v>258</v>
      </c>
      <c r="G13" s="31">
        <v>258</v>
      </c>
      <c r="H13" s="31">
        <v>258</v>
      </c>
      <c r="I13" s="34">
        <f t="shared" si="0"/>
        <v>1548</v>
      </c>
      <c r="J13" s="29" t="s">
        <v>137</v>
      </c>
      <c r="K13" s="33" t="s">
        <v>86</v>
      </c>
      <c r="L13" s="30" t="s">
        <v>149</v>
      </c>
    </row>
    <row r="14" spans="1:12" x14ac:dyDescent="0.3">
      <c r="A14" s="35" t="s">
        <v>152</v>
      </c>
      <c r="B14" s="33">
        <v>1</v>
      </c>
      <c r="C14" s="36">
        <v>2610.5100000000002</v>
      </c>
      <c r="D14" s="36">
        <v>2103.73</v>
      </c>
      <c r="E14" s="36">
        <v>1120.4000000000001</v>
      </c>
      <c r="F14" s="36">
        <v>590.4</v>
      </c>
      <c r="G14" s="36">
        <v>590.4</v>
      </c>
      <c r="H14" s="36">
        <v>590.4</v>
      </c>
      <c r="I14" s="37">
        <f t="shared" si="0"/>
        <v>7605.8399999999983</v>
      </c>
      <c r="J14" s="38" t="s">
        <v>137</v>
      </c>
      <c r="K14" s="33" t="s">
        <v>86</v>
      </c>
      <c r="L14" s="35" t="s">
        <v>153</v>
      </c>
    </row>
    <row r="15" spans="1:12" x14ac:dyDescent="0.3">
      <c r="A15" s="30" t="s">
        <v>85</v>
      </c>
      <c r="B15" s="33">
        <v>3</v>
      </c>
      <c r="C15" s="31">
        <v>192</v>
      </c>
      <c r="D15" s="31">
        <v>192</v>
      </c>
      <c r="E15" s="31">
        <v>192</v>
      </c>
      <c r="F15" s="31">
        <v>192</v>
      </c>
      <c r="G15" s="31">
        <v>192</v>
      </c>
      <c r="H15" s="31">
        <v>192</v>
      </c>
      <c r="I15" s="34">
        <f t="shared" si="0"/>
        <v>1152</v>
      </c>
      <c r="J15" s="29" t="s">
        <v>154</v>
      </c>
      <c r="K15" s="33" t="s">
        <v>86</v>
      </c>
      <c r="L15" s="30" t="s">
        <v>155</v>
      </c>
    </row>
    <row r="16" spans="1:12" x14ac:dyDescent="0.3">
      <c r="A16" s="35" t="s">
        <v>101</v>
      </c>
      <c r="B16" s="33">
        <v>3</v>
      </c>
      <c r="C16" s="36">
        <v>2280</v>
      </c>
      <c r="D16" s="36">
        <v>2280</v>
      </c>
      <c r="E16" s="36">
        <v>2280</v>
      </c>
      <c r="F16" s="36">
        <v>2280</v>
      </c>
      <c r="G16" s="36">
        <v>2280</v>
      </c>
      <c r="H16" s="36">
        <v>2280</v>
      </c>
      <c r="I16" s="37">
        <f t="shared" si="0"/>
        <v>13680</v>
      </c>
      <c r="J16" s="38" t="s">
        <v>154</v>
      </c>
      <c r="K16" s="33" t="s">
        <v>86</v>
      </c>
      <c r="L16" s="35" t="s">
        <v>156</v>
      </c>
    </row>
    <row r="17" spans="1:12" x14ac:dyDescent="0.3">
      <c r="A17" s="30" t="s">
        <v>111</v>
      </c>
      <c r="B17" s="33">
        <v>5</v>
      </c>
      <c r="C17" s="31">
        <v>336</v>
      </c>
      <c r="D17" s="31">
        <v>336</v>
      </c>
      <c r="E17" s="31">
        <v>336</v>
      </c>
      <c r="F17" s="31">
        <v>336</v>
      </c>
      <c r="G17" s="31">
        <v>336</v>
      </c>
      <c r="H17" s="31">
        <v>336</v>
      </c>
      <c r="I17" s="34">
        <f t="shared" si="0"/>
        <v>2016</v>
      </c>
      <c r="J17" s="29" t="s">
        <v>154</v>
      </c>
      <c r="K17" s="33" t="s">
        <v>86</v>
      </c>
      <c r="L17" s="30" t="s">
        <v>157</v>
      </c>
    </row>
    <row r="18" spans="1:12" x14ac:dyDescent="0.3">
      <c r="A18" s="35" t="s">
        <v>102</v>
      </c>
      <c r="B18" s="33">
        <v>5</v>
      </c>
      <c r="C18" s="36">
        <v>385</v>
      </c>
      <c r="D18" s="36">
        <v>385</v>
      </c>
      <c r="E18" s="36">
        <v>385</v>
      </c>
      <c r="F18" s="36">
        <v>385</v>
      </c>
      <c r="G18" s="36">
        <v>385</v>
      </c>
      <c r="H18" s="36">
        <v>385</v>
      </c>
      <c r="I18" s="37">
        <f t="shared" si="0"/>
        <v>2310</v>
      </c>
      <c r="J18" s="38" t="s">
        <v>154</v>
      </c>
      <c r="K18" s="33" t="s">
        <v>86</v>
      </c>
      <c r="L18" s="35" t="s">
        <v>534</v>
      </c>
    </row>
    <row r="19" spans="1:12" x14ac:dyDescent="0.3">
      <c r="A19" s="30" t="s">
        <v>158</v>
      </c>
      <c r="B19" s="33">
        <v>5</v>
      </c>
      <c r="C19" s="31">
        <v>1042.08</v>
      </c>
      <c r="D19" s="31">
        <v>326.08999999999997</v>
      </c>
      <c r="E19" s="31">
        <v>257.39</v>
      </c>
      <c r="F19" s="31">
        <v>257.39</v>
      </c>
      <c r="G19" s="31">
        <v>257.39</v>
      </c>
      <c r="H19" s="31">
        <v>257.39</v>
      </c>
      <c r="I19" s="34">
        <f t="shared" si="0"/>
        <v>2397.7299999999996</v>
      </c>
      <c r="J19" s="29" t="s">
        <v>137</v>
      </c>
      <c r="K19" s="33" t="s">
        <v>110</v>
      </c>
      <c r="L19" s="30" t="s">
        <v>159</v>
      </c>
    </row>
    <row r="20" spans="1:12" x14ac:dyDescent="0.3">
      <c r="A20" s="35" t="s">
        <v>160</v>
      </c>
      <c r="B20" s="33">
        <v>5</v>
      </c>
      <c r="C20" s="36">
        <v>737.6</v>
      </c>
      <c r="D20" s="36">
        <v>737.6</v>
      </c>
      <c r="E20" s="36">
        <v>737.6</v>
      </c>
      <c r="F20" s="36">
        <v>737.6</v>
      </c>
      <c r="G20" s="36">
        <v>737.6</v>
      </c>
      <c r="H20" s="36">
        <v>737.6</v>
      </c>
      <c r="I20" s="37">
        <f t="shared" si="0"/>
        <v>4425.6000000000004</v>
      </c>
      <c r="J20" s="38" t="s">
        <v>137</v>
      </c>
      <c r="K20" s="33" t="s">
        <v>110</v>
      </c>
      <c r="L20" s="35" t="s">
        <v>159</v>
      </c>
    </row>
    <row r="21" spans="1:12" x14ac:dyDescent="0.3">
      <c r="A21" s="30" t="s">
        <v>161</v>
      </c>
      <c r="B21" s="33">
        <v>10</v>
      </c>
      <c r="C21" s="31">
        <v>4800</v>
      </c>
      <c r="D21" s="31">
        <v>3024</v>
      </c>
      <c r="E21" s="31">
        <v>2819</v>
      </c>
      <c r="F21" s="31">
        <v>1900</v>
      </c>
      <c r="G21" s="31">
        <v>1400</v>
      </c>
      <c r="H21" s="31">
        <v>1400</v>
      </c>
      <c r="I21" s="34">
        <f t="shared" si="0"/>
        <v>15343</v>
      </c>
      <c r="J21" s="29" t="s">
        <v>137</v>
      </c>
      <c r="K21" s="33" t="s">
        <v>110</v>
      </c>
      <c r="L21" s="30" t="s">
        <v>162</v>
      </c>
    </row>
    <row r="22" spans="1:12" x14ac:dyDescent="0.3">
      <c r="A22" s="35" t="s">
        <v>104</v>
      </c>
      <c r="B22" s="33">
        <v>10</v>
      </c>
      <c r="C22" s="36">
        <v>558.73</v>
      </c>
      <c r="D22" s="36">
        <v>558.73</v>
      </c>
      <c r="E22" s="36">
        <v>558.73</v>
      </c>
      <c r="F22" s="36">
        <v>558.73</v>
      </c>
      <c r="G22" s="36">
        <v>558.73</v>
      </c>
      <c r="H22" s="36">
        <v>558.73</v>
      </c>
      <c r="I22" s="37">
        <f t="shared" si="0"/>
        <v>3352.38</v>
      </c>
      <c r="J22" s="38" t="s">
        <v>154</v>
      </c>
      <c r="K22" s="33" t="s">
        <v>110</v>
      </c>
      <c r="L22" s="35" t="s">
        <v>163</v>
      </c>
    </row>
    <row r="23" spans="1:12" x14ac:dyDescent="0.3">
      <c r="A23" s="30" t="s">
        <v>105</v>
      </c>
      <c r="B23" s="33">
        <v>10</v>
      </c>
      <c r="C23" s="31">
        <v>400.57</v>
      </c>
      <c r="D23" s="31">
        <v>400.57</v>
      </c>
      <c r="E23" s="31">
        <v>400.57</v>
      </c>
      <c r="F23" s="31">
        <v>400.57</v>
      </c>
      <c r="G23" s="31">
        <v>400.57</v>
      </c>
      <c r="H23" s="31">
        <v>400.57</v>
      </c>
      <c r="I23" s="34">
        <f t="shared" si="0"/>
        <v>2403.42</v>
      </c>
      <c r="J23" s="29" t="s">
        <v>154</v>
      </c>
      <c r="K23" s="33" t="s">
        <v>110</v>
      </c>
      <c r="L23" s="30" t="s">
        <v>163</v>
      </c>
    </row>
    <row r="24" spans="1:12" x14ac:dyDescent="0.3">
      <c r="A24" s="35" t="s">
        <v>106</v>
      </c>
      <c r="B24" s="33">
        <v>10</v>
      </c>
      <c r="C24" s="36">
        <v>337.94</v>
      </c>
      <c r="D24" s="36">
        <v>337.94</v>
      </c>
      <c r="E24" s="36">
        <v>337.94</v>
      </c>
      <c r="F24" s="36">
        <v>337.94</v>
      </c>
      <c r="G24" s="36">
        <v>337.94</v>
      </c>
      <c r="H24" s="36">
        <v>337.94</v>
      </c>
      <c r="I24" s="37">
        <f t="shared" si="0"/>
        <v>2027.64</v>
      </c>
      <c r="J24" s="38" t="s">
        <v>154</v>
      </c>
      <c r="K24" s="33" t="s">
        <v>110</v>
      </c>
      <c r="L24" s="35" t="s">
        <v>164</v>
      </c>
    </row>
    <row r="25" spans="1:12" x14ac:dyDescent="0.3">
      <c r="A25" s="35" t="s">
        <v>115</v>
      </c>
      <c r="B25" s="33">
        <v>15</v>
      </c>
      <c r="C25" s="36">
        <v>3200</v>
      </c>
      <c r="D25" s="36">
        <v>3200</v>
      </c>
      <c r="E25" s="36">
        <v>3200</v>
      </c>
      <c r="F25" s="36">
        <v>3200</v>
      </c>
      <c r="G25" s="36">
        <v>3200</v>
      </c>
      <c r="H25" s="36">
        <v>3200</v>
      </c>
      <c r="I25" s="37">
        <f t="shared" si="0"/>
        <v>19200</v>
      </c>
      <c r="J25" s="38" t="s">
        <v>154</v>
      </c>
      <c r="K25" s="33" t="s">
        <v>110</v>
      </c>
      <c r="L25" s="35" t="s">
        <v>166</v>
      </c>
    </row>
    <row r="26" spans="1:12" x14ac:dyDescent="0.3">
      <c r="A26" s="30" t="s">
        <v>167</v>
      </c>
      <c r="B26" s="33">
        <v>15</v>
      </c>
      <c r="C26" s="31">
        <v>1353.13</v>
      </c>
      <c r="D26" s="31">
        <v>1123.92</v>
      </c>
      <c r="E26" s="31">
        <v>1123.92</v>
      </c>
      <c r="F26" s="31">
        <v>1123.92</v>
      </c>
      <c r="G26" s="31">
        <v>1123.92</v>
      </c>
      <c r="H26" s="31">
        <v>1123.92</v>
      </c>
      <c r="I26" s="34">
        <f t="shared" si="0"/>
        <v>6972.7300000000005</v>
      </c>
      <c r="J26" s="29" t="s">
        <v>154</v>
      </c>
      <c r="K26" s="33" t="s">
        <v>110</v>
      </c>
      <c r="L26" s="30" t="s">
        <v>168</v>
      </c>
    </row>
    <row r="27" spans="1:12" x14ac:dyDescent="0.3">
      <c r="A27" s="35" t="s">
        <v>120</v>
      </c>
      <c r="B27" s="33">
        <v>15</v>
      </c>
      <c r="C27" s="36">
        <v>371.62</v>
      </c>
      <c r="D27" s="36">
        <v>371.62</v>
      </c>
      <c r="E27" s="36">
        <v>371.62</v>
      </c>
      <c r="F27" s="36">
        <v>371.62</v>
      </c>
      <c r="G27" s="36">
        <v>371.62</v>
      </c>
      <c r="H27" s="36">
        <v>371.62</v>
      </c>
      <c r="I27" s="37">
        <f t="shared" si="0"/>
        <v>2229.7199999999998</v>
      </c>
      <c r="J27" s="38" t="s">
        <v>154</v>
      </c>
      <c r="K27" s="33" t="s">
        <v>110</v>
      </c>
      <c r="L27" s="35" t="s">
        <v>169</v>
      </c>
    </row>
    <row r="28" spans="1:12" x14ac:dyDescent="0.3">
      <c r="A28" s="30" t="s">
        <v>117</v>
      </c>
      <c r="B28" s="33">
        <v>20</v>
      </c>
      <c r="C28" s="31">
        <v>685.53</v>
      </c>
      <c r="D28" s="31">
        <v>685.53</v>
      </c>
      <c r="E28" s="31">
        <v>685.53</v>
      </c>
      <c r="F28" s="31">
        <v>685.53</v>
      </c>
      <c r="G28" s="31">
        <v>685.53</v>
      </c>
      <c r="H28" s="31">
        <v>685.53</v>
      </c>
      <c r="I28" s="34">
        <f t="shared" si="0"/>
        <v>4113.1799999999994</v>
      </c>
      <c r="J28" s="29" t="s">
        <v>154</v>
      </c>
      <c r="K28" s="33" t="s">
        <v>110</v>
      </c>
      <c r="L28" s="30" t="s">
        <v>170</v>
      </c>
    </row>
    <row r="29" spans="1:12" x14ac:dyDescent="0.3">
      <c r="A29" s="35" t="s">
        <v>122</v>
      </c>
      <c r="B29" s="33">
        <v>30</v>
      </c>
      <c r="C29" s="36">
        <v>388.03</v>
      </c>
      <c r="D29" s="36">
        <v>388.03</v>
      </c>
      <c r="E29" s="36">
        <v>388.03</v>
      </c>
      <c r="F29" s="36">
        <v>388.03</v>
      </c>
      <c r="G29" s="36">
        <v>388.03</v>
      </c>
      <c r="H29" s="36">
        <v>388.03</v>
      </c>
      <c r="I29" s="37">
        <f t="shared" si="0"/>
        <v>2328.1799999999998</v>
      </c>
      <c r="J29" s="38" t="s">
        <v>154</v>
      </c>
      <c r="K29" s="33" t="s">
        <v>110</v>
      </c>
      <c r="L29" s="35" t="s">
        <v>171</v>
      </c>
    </row>
    <row r="30" spans="1:12" x14ac:dyDescent="0.3">
      <c r="A30" s="116" t="s">
        <v>172</v>
      </c>
      <c r="B30" s="117"/>
      <c r="C30" s="41">
        <f t="shared" ref="C30" si="1">SUMIF($K$5:$K$29,"N",C$5:C$29)</f>
        <v>15061.970000000003</v>
      </c>
      <c r="D30" s="41">
        <f>SUM(D$5:D$29)</f>
        <v>23962.109999999997</v>
      </c>
      <c r="E30" s="41">
        <f>SUM(E$5:E$29)</f>
        <v>21674.309999999994</v>
      </c>
      <c r="F30" s="41">
        <f>SUM(F$5:F$29)</f>
        <v>18206.249999999996</v>
      </c>
      <c r="G30" s="41">
        <f>SUM(G$5:G$29)</f>
        <v>17677.759999999998</v>
      </c>
      <c r="H30" s="41">
        <f>SUM(H$5:H$29)</f>
        <v>17648.699999999997</v>
      </c>
      <c r="I30" s="41">
        <f t="shared" si="0"/>
        <v>114231.09999999999</v>
      </c>
      <c r="J30" s="40"/>
      <c r="K30" s="40"/>
      <c r="L30" s="40"/>
    </row>
  </sheetData>
  <autoFilter ref="A4:L29" xr:uid="{00000000-0009-0000-0000-000003000000}"/>
  <mergeCells count="3">
    <mergeCell ref="A2:L2"/>
    <mergeCell ref="A1:L1"/>
    <mergeCell ref="A30:B30"/>
  </mergeCells>
  <conditionalFormatting sqref="A5:L29">
    <cfRule type="expression" dxfId="30" priority="1">
      <formula>$K5="S"</formula>
    </cfRule>
    <cfRule type="expression" dxfId="29" priority="2">
      <formula>AND($J5="Pendências",$K5&lt;&gt;"S")</formula>
    </cfRule>
  </conditionalFormatting>
  <dataValidations count="1">
    <dataValidation type="list" allowBlank="1" errorTitle="Pago" error="Use S ou N" sqref="K5:K29" xr:uid="{00000000-0002-0000-0300-000000000000}">
      <formula1>"S,N"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topLeftCell="A28" workbookViewId="0">
      <selection activeCell="B5" sqref="B5"/>
    </sheetView>
  </sheetViews>
  <sheetFormatPr defaultRowHeight="14.4" x14ac:dyDescent="0.3"/>
  <cols>
    <col min="1" max="1" width="36" customWidth="1"/>
    <col min="2" max="2" width="26.77734375" bestFit="1" customWidth="1"/>
    <col min="3" max="7" width="20" customWidth="1"/>
    <col min="8" max="8" width="12" customWidth="1"/>
  </cols>
  <sheetData>
    <row r="1" spans="1:8" ht="23.4" x14ac:dyDescent="0.45">
      <c r="A1" s="104" t="s">
        <v>173</v>
      </c>
      <c r="B1" s="80"/>
      <c r="C1" s="80"/>
      <c r="D1" s="80"/>
      <c r="E1" s="80"/>
      <c r="F1" s="80"/>
      <c r="G1" s="80"/>
    </row>
    <row r="2" spans="1:8" x14ac:dyDescent="0.3">
      <c r="A2" s="82" t="s">
        <v>174</v>
      </c>
      <c r="B2" s="80"/>
      <c r="C2" s="80"/>
      <c r="D2" s="80"/>
      <c r="E2" s="80"/>
      <c r="F2" s="80"/>
      <c r="G2" s="80"/>
    </row>
    <row r="4" spans="1:8" ht="17.399999999999999" x14ac:dyDescent="0.35">
      <c r="A4" s="79" t="s">
        <v>175</v>
      </c>
      <c r="B4" s="80"/>
      <c r="C4" s="80"/>
      <c r="D4" s="1" t="s">
        <v>176</v>
      </c>
    </row>
    <row r="5" spans="1:8" x14ac:dyDescent="0.3">
      <c r="A5" s="13" t="s">
        <v>177</v>
      </c>
      <c r="B5" s="42">
        <f>Prioridades!I3</f>
        <v>100</v>
      </c>
      <c r="D5" s="11" t="s">
        <v>178</v>
      </c>
      <c r="E5" s="42">
        <f>Dashboard!B18</f>
        <v>8500</v>
      </c>
    </row>
    <row r="6" spans="1:8" ht="23.4" x14ac:dyDescent="0.45">
      <c r="A6" s="43" t="s">
        <v>179</v>
      </c>
      <c r="B6" s="44">
        <v>5000</v>
      </c>
      <c r="D6" s="11" t="s">
        <v>180</v>
      </c>
      <c r="E6" s="42">
        <f>Emprestimos!I4</f>
        <v>113725.15000000001</v>
      </c>
    </row>
    <row r="7" spans="1:8" ht="23.4" x14ac:dyDescent="0.45">
      <c r="A7" s="43" t="s">
        <v>181</v>
      </c>
      <c r="B7" s="44">
        <v>0</v>
      </c>
      <c r="C7" s="2" t="s">
        <v>182</v>
      </c>
      <c r="D7" s="11" t="s">
        <v>183</v>
      </c>
      <c r="E7" s="11">
        <f>IF(E5=0,0,ROUNDUP(E6/E5,0))</f>
        <v>14</v>
      </c>
    </row>
    <row r="8" spans="1:8" ht="23.4" x14ac:dyDescent="0.45">
      <c r="A8" s="43" t="s">
        <v>184</v>
      </c>
      <c r="B8" s="44">
        <v>0</v>
      </c>
      <c r="D8" s="11" t="s">
        <v>185</v>
      </c>
      <c r="E8" s="11">
        <f>E7*30</f>
        <v>420</v>
      </c>
    </row>
    <row r="9" spans="1:8" ht="23.4" x14ac:dyDescent="0.45">
      <c r="A9" s="43" t="s">
        <v>186</v>
      </c>
      <c r="B9" s="44">
        <v>0</v>
      </c>
    </row>
    <row r="10" spans="1:8" ht="28.8" x14ac:dyDescent="0.55000000000000004">
      <c r="A10" s="6" t="s">
        <v>187</v>
      </c>
      <c r="B10" s="7">
        <f>SUM(B5:B9)</f>
        <v>5100</v>
      </c>
    </row>
    <row r="12" spans="1:8" ht="17.399999999999999" x14ac:dyDescent="0.35">
      <c r="A12" s="1" t="s">
        <v>188</v>
      </c>
    </row>
    <row r="13" spans="1:8" ht="28.8" x14ac:dyDescent="0.3">
      <c r="A13" s="10" t="s">
        <v>189</v>
      </c>
      <c r="B13" s="10" t="s">
        <v>190</v>
      </c>
      <c r="C13" s="10" t="s">
        <v>191</v>
      </c>
      <c r="D13" s="10" t="s">
        <v>192</v>
      </c>
      <c r="E13" s="10" t="s">
        <v>193</v>
      </c>
      <c r="F13" s="10" t="s">
        <v>194</v>
      </c>
      <c r="G13" s="10" t="s">
        <v>195</v>
      </c>
      <c r="H13" s="10" t="s">
        <v>196</v>
      </c>
    </row>
    <row r="14" spans="1:8" x14ac:dyDescent="0.3">
      <c r="A14" s="30" t="s">
        <v>197</v>
      </c>
      <c r="B14" s="31">
        <v>9228.6299999999992</v>
      </c>
      <c r="C14" s="31">
        <v>9228.6299999999992</v>
      </c>
      <c r="D14" s="31">
        <v>0</v>
      </c>
      <c r="E14" s="45">
        <v>3.5000000000000003E-2</v>
      </c>
      <c r="F14" s="31">
        <f>C14*E14</f>
        <v>323.00205</v>
      </c>
      <c r="G14" s="31">
        <v>0</v>
      </c>
      <c r="H14" s="29" t="str">
        <f>IF($B$10&gt;=B14,"SIM","PARCIAL")</f>
        <v>PARCIAL</v>
      </c>
    </row>
    <row r="15" spans="1:8" x14ac:dyDescent="0.3">
      <c r="A15" s="30" t="s">
        <v>198</v>
      </c>
      <c r="B15" s="31">
        <v>4155.54</v>
      </c>
      <c r="C15" s="31">
        <v>20988.81</v>
      </c>
      <c r="D15" s="31">
        <f>C15-B15</f>
        <v>16833.27</v>
      </c>
      <c r="E15" s="45">
        <v>0.08</v>
      </c>
      <c r="F15" s="31">
        <f>C15*E15</f>
        <v>1679.1048000000001</v>
      </c>
      <c r="G15" s="31">
        <v>0</v>
      </c>
      <c r="H15" s="29" t="str">
        <f>IF($B$10&gt;=B15,"SIM","NÃO")</f>
        <v>SIM</v>
      </c>
    </row>
    <row r="16" spans="1:8" x14ac:dyDescent="0.3">
      <c r="A16" s="30" t="s">
        <v>199</v>
      </c>
      <c r="B16" s="31">
        <v>6540.19</v>
      </c>
      <c r="C16" s="31">
        <v>8695.2099999999991</v>
      </c>
      <c r="D16" s="31">
        <f>C16-B16</f>
        <v>2155.0199999999995</v>
      </c>
      <c r="E16" s="45">
        <v>1.47E-2</v>
      </c>
      <c r="F16" s="31">
        <f>C16*E16</f>
        <v>127.81958699999998</v>
      </c>
      <c r="G16" s="31">
        <v>584.37</v>
      </c>
      <c r="H16" s="29" t="str">
        <f>IF($B$10&gt;=B16,"SIM","NÃO")</f>
        <v>NÃO</v>
      </c>
    </row>
    <row r="17" spans="1:8" x14ac:dyDescent="0.3">
      <c r="A17" s="30" t="s">
        <v>200</v>
      </c>
      <c r="B17" s="31">
        <f>$B$10</f>
        <v>5100</v>
      </c>
      <c r="C17" s="31">
        <f>$B$10</f>
        <v>5100</v>
      </c>
      <c r="D17" s="31">
        <v>0</v>
      </c>
      <c r="E17" s="45">
        <v>0.04</v>
      </c>
      <c r="F17" s="31">
        <f>C17*E17</f>
        <v>204</v>
      </c>
      <c r="G17" s="31">
        <v>0</v>
      </c>
      <c r="H17" s="29" t="s">
        <v>201</v>
      </c>
    </row>
    <row r="18" spans="1:8" x14ac:dyDescent="0.3">
      <c r="A18" s="30" t="s">
        <v>202</v>
      </c>
      <c r="B18" s="31">
        <f>Emprestimos!C7+Emprestimos!C8+Emprestimos!C9</f>
        <v>1297.24</v>
      </c>
      <c r="C18" s="31">
        <f>Emprestimos!B7+Emprestimos!B8+Emprestimos!B9</f>
        <v>22275.19</v>
      </c>
      <c r="D18" s="31">
        <v>0</v>
      </c>
      <c r="E18" s="45">
        <v>0.02</v>
      </c>
      <c r="F18" s="31">
        <f>C18*E18</f>
        <v>445.50379999999996</v>
      </c>
      <c r="G18" s="31">
        <f>Emprestimos!C7+Emprestimos!C8+Emprestimos!C9</f>
        <v>1297.24</v>
      </c>
      <c r="H18" s="29" t="s">
        <v>203</v>
      </c>
    </row>
    <row r="20" spans="1:8" ht="17.399999999999999" x14ac:dyDescent="0.35">
      <c r="A20" s="79" t="s">
        <v>204</v>
      </c>
      <c r="B20" s="80"/>
      <c r="C20" s="80"/>
      <c r="D20" s="80"/>
      <c r="E20" s="80"/>
      <c r="F20" s="80"/>
      <c r="G20" s="80"/>
    </row>
    <row r="21" spans="1:8" x14ac:dyDescent="0.3">
      <c r="A21" s="10" t="s">
        <v>205</v>
      </c>
      <c r="B21" s="10" t="s">
        <v>206</v>
      </c>
      <c r="C21" s="10" t="s">
        <v>207</v>
      </c>
      <c r="D21" s="10" t="s">
        <v>208</v>
      </c>
      <c r="E21" s="10" t="s">
        <v>209</v>
      </c>
    </row>
    <row r="22" spans="1:8" x14ac:dyDescent="0.3">
      <c r="A22" s="29">
        <v>1</v>
      </c>
      <c r="B22" s="30" t="s">
        <v>210</v>
      </c>
      <c r="C22" s="31">
        <f>MIN($B$10,B14)</f>
        <v>5100</v>
      </c>
      <c r="D22" s="31">
        <f>$B$10-C22</f>
        <v>0</v>
      </c>
      <c r="E22" s="30" t="str">
        <f>IF(C22&gt;=B14,"Atraso ZERADO","Atraso reduzido em "&amp;TEXT(C22,"R$ #,##0.00"))</f>
        <v>Atraso reduzido em R$ 5100,000</v>
      </c>
    </row>
    <row r="23" spans="1:8" x14ac:dyDescent="0.3">
      <c r="A23" s="29">
        <v>2</v>
      </c>
      <c r="B23" s="30" t="str">
        <f>IF(D22&gt;=B15,"Mercado Pago — QUITAR","Mercado Pago — não cabe")</f>
        <v>Mercado Pago — não cabe</v>
      </c>
      <c r="C23" s="31">
        <f>IF(D22&gt;=B15,B15,0)</f>
        <v>0</v>
      </c>
      <c r="D23" s="31">
        <f>D22-C23</f>
        <v>0</v>
      </c>
      <c r="E23" s="30" t="str">
        <f>IF(C23&gt;0,"Economia "&amp;TEXT(D15,"R$ #,##0.00")&amp;" · cancela "&amp;TEXT(C15,"R$ #,##0.00"),"—")</f>
        <v>—</v>
      </c>
    </row>
    <row r="24" spans="1:8" x14ac:dyDescent="0.3">
      <c r="A24" s="29">
        <v>3</v>
      </c>
      <c r="B24" s="30" t="str">
        <f>IF(D23&gt;=B16,"Caixa PF — QUITAR","Caixa PF — não cabe")</f>
        <v>Caixa PF — não cabe</v>
      </c>
      <c r="C24" s="31">
        <f>IF(D23&gt;=B16,B16,0)</f>
        <v>0</v>
      </c>
      <c r="D24" s="31">
        <f>D23-C24</f>
        <v>0</v>
      </c>
      <c r="E24" s="30" t="str">
        <f>IF(C24&gt;0,"Economia "&amp;TEXT(D16,"R$ #,##0.00"),"—")</f>
        <v>—</v>
      </c>
    </row>
    <row r="25" spans="1:8" x14ac:dyDescent="0.3">
      <c r="A25" s="29">
        <v>4</v>
      </c>
      <c r="B25" s="30" t="str">
        <f>IF(D24&gt;0,"Nubank — amortizar restante","—")</f>
        <v>—</v>
      </c>
      <c r="C25" s="31">
        <f>D24</f>
        <v>0</v>
      </c>
      <c r="D25" s="31">
        <v>0</v>
      </c>
      <c r="E25" s="30" t="str">
        <f>IF(C25&gt;0,"Reduz saldo Nubank · juros evitados ~ "&amp;TEXT(C25*E17,"R$ #,##0.00")&amp;"/mês","—")</f>
        <v>—</v>
      </c>
    </row>
    <row r="27" spans="1:8" ht="17.399999999999999" x14ac:dyDescent="0.35">
      <c r="A27" s="1" t="s">
        <v>211</v>
      </c>
    </row>
    <row r="28" spans="1:8" x14ac:dyDescent="0.3">
      <c r="A28" s="91" t="s">
        <v>212</v>
      </c>
      <c r="B28" s="92"/>
      <c r="C28" s="85" t="s">
        <v>213</v>
      </c>
      <c r="D28" s="86"/>
      <c r="E28" s="100" t="s">
        <v>214</v>
      </c>
      <c r="F28" s="96"/>
    </row>
    <row r="29" spans="1:8" x14ac:dyDescent="0.3">
      <c r="A29" s="120" t="str">
        <f>IF(C22&gt;=B14,"Caixa PJ (atraso) — risco",IF(C23&gt;0,"Mercado Pago — melhor ROI",IF(C24&gt;0,"Caixa PF",IF(C22&gt;0,"Caixa PJ (parcial)","Informe um valor no cenário"))))</f>
        <v>Caixa PJ (parcial)</v>
      </c>
      <c r="B29" s="92"/>
      <c r="C29" s="99">
        <f>IF(C23&gt;0,D15,0)+IF(C24&gt;0,D16,0)</f>
        <v>0</v>
      </c>
      <c r="D29" s="86"/>
      <c r="E29" s="95">
        <f>IF(C22&gt;0,C22*E14,0)+IF(C23&gt;0,F15,0)+IF(C24&gt;0,F16,0)+IF(C25&gt;0,C25*E17,0)</f>
        <v>178.50000000000003</v>
      </c>
      <c r="F29" s="96"/>
    </row>
    <row r="30" spans="1:8" x14ac:dyDescent="0.3">
      <c r="A30" s="92"/>
      <c r="B30" s="92"/>
      <c r="C30" s="86"/>
      <c r="D30" s="86"/>
      <c r="E30" s="96"/>
      <c r="F30" s="96"/>
    </row>
    <row r="32" spans="1:8" x14ac:dyDescent="0.3">
      <c r="A32" s="90" t="s">
        <v>215</v>
      </c>
      <c r="B32" s="84"/>
      <c r="C32" s="88" t="s">
        <v>216</v>
      </c>
      <c r="D32" s="89"/>
      <c r="E32" s="90" t="s">
        <v>217</v>
      </c>
      <c r="F32" s="84"/>
      <c r="G32" t="s">
        <v>218</v>
      </c>
      <c r="H32">
        <f>$E$6-IF(C23&gt;0,C15,0)-IF(C24&gt;0,C16,0)-C25-C22</f>
        <v>108625.15000000001</v>
      </c>
    </row>
    <row r="33" spans="1:8" x14ac:dyDescent="0.3">
      <c r="A33" s="83">
        <f>E29</f>
        <v>178.50000000000003</v>
      </c>
      <c r="B33" s="84"/>
      <c r="C33" s="118">
        <f>H36</f>
        <v>30</v>
      </c>
      <c r="D33" s="89"/>
      <c r="E33" s="119" t="str">
        <f>CONCATENATE(H34," meses · ",H35," dias")</f>
        <v>13 meses · 390 dias</v>
      </c>
      <c r="F33" s="84"/>
      <c r="G33" t="s">
        <v>219</v>
      </c>
      <c r="H33">
        <f>$E$5+E29</f>
        <v>8678.5</v>
      </c>
    </row>
    <row r="34" spans="1:8" x14ac:dyDescent="0.3">
      <c r="A34" s="84"/>
      <c r="B34" s="84"/>
      <c r="C34" s="89"/>
      <c r="D34" s="89"/>
      <c r="E34" s="84"/>
      <c r="F34" s="84"/>
      <c r="G34" t="s">
        <v>220</v>
      </c>
      <c r="H34">
        <f>IF(H33&lt;=0,0,ROUNDUP(MAX(0,H32)/H33,0))</f>
        <v>13</v>
      </c>
    </row>
    <row r="35" spans="1:8" x14ac:dyDescent="0.3">
      <c r="A35" s="2" t="s">
        <v>221</v>
      </c>
      <c r="C35" s="88" t="s">
        <v>222</v>
      </c>
      <c r="D35" s="89"/>
      <c r="E35" s="84"/>
      <c r="F35" s="84"/>
      <c r="G35" t="s">
        <v>223</v>
      </c>
      <c r="H35">
        <f>H34*30</f>
        <v>390</v>
      </c>
    </row>
    <row r="36" spans="1:8" x14ac:dyDescent="0.3">
      <c r="G36" t="s">
        <v>224</v>
      </c>
      <c r="H36">
        <f>MAX(0,$E$8-H35)</f>
        <v>30</v>
      </c>
    </row>
    <row r="37" spans="1:8" ht="17.399999999999999" x14ac:dyDescent="0.35">
      <c r="A37" s="1" t="s">
        <v>225</v>
      </c>
    </row>
    <row r="38" spans="1:8" x14ac:dyDescent="0.3">
      <c r="A38" s="10" t="s">
        <v>226</v>
      </c>
      <c r="B38" s="10" t="s">
        <v>227</v>
      </c>
      <c r="C38" s="10" t="s">
        <v>228</v>
      </c>
      <c r="D38" s="10" t="s">
        <v>229</v>
      </c>
    </row>
    <row r="39" spans="1:8" x14ac:dyDescent="0.3">
      <c r="A39" s="11" t="s">
        <v>230</v>
      </c>
      <c r="B39" s="12">
        <v>5000</v>
      </c>
      <c r="C39" s="11" t="s">
        <v>231</v>
      </c>
      <c r="D39" s="11" t="s">
        <v>232</v>
      </c>
    </row>
    <row r="40" spans="1:8" x14ac:dyDescent="0.3">
      <c r="A40" s="11" t="s">
        <v>233</v>
      </c>
      <c r="B40" s="12">
        <v>20000</v>
      </c>
      <c r="C40" s="11" t="s">
        <v>234</v>
      </c>
      <c r="D40" s="11" t="s">
        <v>235</v>
      </c>
    </row>
    <row r="41" spans="1:8" x14ac:dyDescent="0.3">
      <c r="A41" s="11" t="s">
        <v>236</v>
      </c>
      <c r="B41" s="12">
        <v>35000</v>
      </c>
      <c r="C41" s="11" t="s">
        <v>237</v>
      </c>
      <c r="D41" s="11" t="s">
        <v>238</v>
      </c>
    </row>
    <row r="42" spans="1:8" x14ac:dyDescent="0.3">
      <c r="A42" s="11" t="s">
        <v>239</v>
      </c>
      <c r="B42" s="12">
        <v>0</v>
      </c>
      <c r="C42" s="11" t="s">
        <v>240</v>
      </c>
      <c r="D42" s="11" t="s">
        <v>241</v>
      </c>
    </row>
    <row r="44" spans="1:8" ht="17.399999999999999" x14ac:dyDescent="0.35">
      <c r="A44" s="1" t="s">
        <v>242</v>
      </c>
    </row>
    <row r="45" spans="1:8" x14ac:dyDescent="0.3">
      <c r="A45" s="121" t="str">
        <f>CONCATENATE("Com R$ ",TEXT($B$10,"#,##0.00")," disponíveis: ",A29,". ","Economia imediata de R$ ",TEXT(C29,"#,##0.00"),". ","Você deixa de pagar ~R$ ",TEXT(E29,"#,##0.00"),"/mês em juros. ","Saída do vermelho antecipada em ",H36," dias (",H34," meses restantes).")</f>
        <v>Com R$ 5100,000 disponíveis: Caixa PJ (parcial). Economia imediata de R$ ,000. Você deixa de pagar ~R$ 178,5000/mês em juros. Saída do vermelho antecipada em 30 dias (13 meses restantes).</v>
      </c>
      <c r="B45" s="122"/>
      <c r="C45" s="122"/>
      <c r="D45" s="122"/>
      <c r="E45" s="122"/>
      <c r="F45" s="122"/>
    </row>
    <row r="46" spans="1:8" x14ac:dyDescent="0.3">
      <c r="A46" s="80"/>
      <c r="B46" s="122"/>
      <c r="C46" s="122"/>
      <c r="D46" s="122"/>
      <c r="E46" s="122"/>
      <c r="F46" s="122"/>
    </row>
    <row r="47" spans="1:8" x14ac:dyDescent="0.3">
      <c r="A47" s="80"/>
      <c r="B47" s="122"/>
      <c r="C47" s="122"/>
      <c r="D47" s="122"/>
      <c r="E47" s="122"/>
      <c r="F47" s="122"/>
    </row>
    <row r="49" spans="1:7" ht="17.399999999999999" x14ac:dyDescent="0.35">
      <c r="A49" s="1" t="s">
        <v>243</v>
      </c>
    </row>
    <row r="50" spans="1:7" x14ac:dyDescent="0.3">
      <c r="A50" s="10" t="s">
        <v>244</v>
      </c>
      <c r="B50" s="10" t="s">
        <v>245</v>
      </c>
      <c r="C50" s="10" t="s">
        <v>246</v>
      </c>
    </row>
    <row r="51" spans="1:7" x14ac:dyDescent="0.3">
      <c r="A51" s="30" t="s">
        <v>247</v>
      </c>
      <c r="B51" s="31">
        <v>0</v>
      </c>
      <c r="C51" s="31">
        <f>MIN($B$10,B14)*E14</f>
        <v>178.50000000000003</v>
      </c>
    </row>
    <row r="52" spans="1:7" x14ac:dyDescent="0.3">
      <c r="A52" s="30" t="s">
        <v>248</v>
      </c>
      <c r="B52" s="31">
        <f>IF($B$10&gt;=B15,D15,0)</f>
        <v>16833.27</v>
      </c>
      <c r="C52" s="31">
        <f>IF($B$10&gt;=B15,F15,0)</f>
        <v>1679.1048000000001</v>
      </c>
    </row>
    <row r="53" spans="1:7" x14ac:dyDescent="0.3">
      <c r="A53" s="30" t="s">
        <v>249</v>
      </c>
      <c r="B53" s="31">
        <f>IF($B$10&gt;=B16,D16,0)</f>
        <v>0</v>
      </c>
      <c r="C53" s="31">
        <f>IF($B$10&gt;=B16,F16,0)</f>
        <v>0</v>
      </c>
    </row>
    <row r="54" spans="1:7" x14ac:dyDescent="0.3">
      <c r="A54" s="30" t="s">
        <v>250</v>
      </c>
      <c r="B54" s="31">
        <v>0</v>
      </c>
      <c r="C54" s="31">
        <f>$B$10*E17</f>
        <v>204</v>
      </c>
    </row>
    <row r="56" spans="1:7" x14ac:dyDescent="0.3">
      <c r="A56" s="82" t="s">
        <v>251</v>
      </c>
      <c r="B56" s="80"/>
      <c r="C56" s="80"/>
      <c r="D56" s="80"/>
      <c r="E56" s="80"/>
      <c r="F56" s="80"/>
      <c r="G56" s="80"/>
    </row>
  </sheetData>
  <mergeCells count="19">
    <mergeCell ref="A56:G56"/>
    <mergeCell ref="E29:F30"/>
    <mergeCell ref="A28:B28"/>
    <mergeCell ref="A45:F47"/>
    <mergeCell ref="C28:D28"/>
    <mergeCell ref="A4:C4"/>
    <mergeCell ref="A1:G1"/>
    <mergeCell ref="A32:B32"/>
    <mergeCell ref="C33:D34"/>
    <mergeCell ref="C32:D32"/>
    <mergeCell ref="C29:D30"/>
    <mergeCell ref="E32:F32"/>
    <mergeCell ref="A2:G2"/>
    <mergeCell ref="A20:G20"/>
    <mergeCell ref="E33:F35"/>
    <mergeCell ref="C35:D35"/>
    <mergeCell ref="A33:B34"/>
    <mergeCell ref="A29:B30"/>
    <mergeCell ref="E28:F28"/>
  </mergeCells>
  <conditionalFormatting sqref="H14:H17">
    <cfRule type="expression" dxfId="28" priority="1">
      <formula>H14="SIM"</formula>
    </cfRule>
    <cfRule type="expression" dxfId="27" priority="2">
      <formula>H14="NÃO"</formula>
    </cfRule>
    <cfRule type="expression" dxfId="26" priority="3">
      <formula>H14="PARCIAL"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pane ySplit="6" topLeftCell="A22" activePane="bottomLeft" state="frozen"/>
      <selection pane="bottomLeft" sqref="A1:I1"/>
    </sheetView>
  </sheetViews>
  <sheetFormatPr defaultRowHeight="14.4" x14ac:dyDescent="0.3"/>
  <cols>
    <col min="1" max="1" width="6" customWidth="1"/>
    <col min="2" max="6" width="20" customWidth="1"/>
    <col min="7" max="7" width="55" customWidth="1"/>
    <col min="8" max="8" width="14" customWidth="1"/>
    <col min="9" max="9" width="18" customWidth="1"/>
    <col min="10" max="10" width="20" customWidth="1"/>
  </cols>
  <sheetData>
    <row r="1" spans="1:10" ht="23.4" x14ac:dyDescent="0.45">
      <c r="A1" s="104" t="s">
        <v>252</v>
      </c>
      <c r="B1" s="80"/>
      <c r="C1" s="80"/>
      <c r="D1" s="80"/>
      <c r="E1" s="80"/>
      <c r="F1" s="80"/>
      <c r="G1" s="80"/>
      <c r="H1" s="80"/>
      <c r="I1" s="80"/>
    </row>
    <row r="2" spans="1:10" x14ac:dyDescent="0.3">
      <c r="A2" s="2" t="s">
        <v>253</v>
      </c>
      <c r="I2" t="s">
        <v>254</v>
      </c>
      <c r="J2" s="20">
        <f>E37</f>
        <v>5562.3399999999983</v>
      </c>
    </row>
    <row r="3" spans="1:10" x14ac:dyDescent="0.3">
      <c r="A3" t="s">
        <v>255</v>
      </c>
      <c r="B3" s="47" t="s">
        <v>256</v>
      </c>
      <c r="C3" t="s">
        <v>257</v>
      </c>
      <c r="D3" s="48">
        <v>0</v>
      </c>
      <c r="E3" s="2" t="s">
        <v>258</v>
      </c>
      <c r="I3" t="s">
        <v>259</v>
      </c>
      <c r="J3" s="20">
        <f>C38</f>
        <v>30530.309999999998</v>
      </c>
    </row>
    <row r="4" spans="1:10" x14ac:dyDescent="0.3">
      <c r="A4" t="s">
        <v>260</v>
      </c>
      <c r="B4" s="49">
        <f>Prioridades!I3</f>
        <v>100</v>
      </c>
      <c r="I4" t="s">
        <v>261</v>
      </c>
      <c r="J4" s="20">
        <f>D38</f>
        <v>24967.969999999998</v>
      </c>
    </row>
    <row r="5" spans="1:10" x14ac:dyDescent="0.3">
      <c r="I5" t="s">
        <v>262</v>
      </c>
      <c r="J5" s="20">
        <v>18097.21</v>
      </c>
    </row>
    <row r="6" spans="1:10" x14ac:dyDescent="0.3">
      <c r="A6" s="10" t="s">
        <v>12</v>
      </c>
      <c r="B6" s="10" t="s">
        <v>263</v>
      </c>
      <c r="C6" s="10" t="s">
        <v>264</v>
      </c>
      <c r="D6" s="10" t="s">
        <v>265</v>
      </c>
      <c r="E6" s="10" t="s">
        <v>266</v>
      </c>
      <c r="F6" s="10" t="s">
        <v>267</v>
      </c>
      <c r="G6" s="10" t="s">
        <v>268</v>
      </c>
      <c r="H6" s="10" t="s">
        <v>269</v>
      </c>
      <c r="I6" t="s">
        <v>270</v>
      </c>
      <c r="J6" s="20">
        <f>D38</f>
        <v>24967.969999999998</v>
      </c>
    </row>
    <row r="7" spans="1:10" x14ac:dyDescent="0.3">
      <c r="A7" s="29">
        <v>1</v>
      </c>
      <c r="B7" s="31">
        <f>$D$3</f>
        <v>0</v>
      </c>
      <c r="C7" s="31">
        <v>12433.1</v>
      </c>
      <c r="D7" s="31">
        <v>0</v>
      </c>
      <c r="E7" s="31">
        <f t="shared" ref="E7:E37" si="0">B7+C7-D7</f>
        <v>12433.1</v>
      </c>
      <c r="F7" s="31">
        <f>E7+SUM(C8:C37)-SUM(D8:D37)</f>
        <v>5562.34</v>
      </c>
      <c r="G7" s="30" t="s">
        <v>271</v>
      </c>
      <c r="H7" s="29" t="str">
        <f t="shared" ref="H7:H37" si="1">IF(E7&lt;0,"SEM CAIXA",IF(AND(D7&gt;0,E7&lt;D7*0.1),"APERTADO",""))</f>
        <v/>
      </c>
      <c r="I7" t="s">
        <v>272</v>
      </c>
      <c r="J7" s="20">
        <f>C38-D38</f>
        <v>5562.34</v>
      </c>
    </row>
    <row r="8" spans="1:10" x14ac:dyDescent="0.3">
      <c r="A8" s="29">
        <v>2</v>
      </c>
      <c r="B8" s="31">
        <f t="shared" ref="B8:B37" si="2">E7</f>
        <v>12433.1</v>
      </c>
      <c r="C8" s="31">
        <v>0</v>
      </c>
      <c r="D8" s="31">
        <v>0</v>
      </c>
      <c r="E8" s="31">
        <f t="shared" si="0"/>
        <v>12433.1</v>
      </c>
      <c r="F8" s="31">
        <f>E8+SUM(C9:C37)-SUM(D9:D37)</f>
        <v>5562.34</v>
      </c>
      <c r="G8" s="30" t="s">
        <v>203</v>
      </c>
      <c r="H8" s="29" t="str">
        <f t="shared" si="1"/>
        <v/>
      </c>
    </row>
    <row r="9" spans="1:10" x14ac:dyDescent="0.3">
      <c r="A9" s="29">
        <v>3</v>
      </c>
      <c r="B9" s="31">
        <f t="shared" si="2"/>
        <v>12433.1</v>
      </c>
      <c r="C9" s="31">
        <v>0</v>
      </c>
      <c r="D9" s="31">
        <v>192</v>
      </c>
      <c r="E9" s="31">
        <f t="shared" si="0"/>
        <v>12241.1</v>
      </c>
      <c r="F9" s="31">
        <f>E9+SUM(C10:C37)-SUM(D10:D37)</f>
        <v>5562.34</v>
      </c>
      <c r="G9" s="30" t="s">
        <v>273</v>
      </c>
      <c r="H9" s="29" t="str">
        <f t="shared" si="1"/>
        <v/>
      </c>
    </row>
    <row r="10" spans="1:10" x14ac:dyDescent="0.3">
      <c r="A10" s="29">
        <v>4</v>
      </c>
      <c r="B10" s="31">
        <f t="shared" si="2"/>
        <v>12241.1</v>
      </c>
      <c r="C10" s="31">
        <v>0</v>
      </c>
      <c r="D10" s="31">
        <v>0</v>
      </c>
      <c r="E10" s="31">
        <f t="shared" si="0"/>
        <v>12241.1</v>
      </c>
      <c r="F10" s="31">
        <f>E10+SUM(C11:C37)-SUM(D11:D37)</f>
        <v>5562.34</v>
      </c>
      <c r="G10" s="30" t="s">
        <v>203</v>
      </c>
      <c r="H10" s="29" t="str">
        <f t="shared" si="1"/>
        <v/>
      </c>
    </row>
    <row r="11" spans="1:10" x14ac:dyDescent="0.3">
      <c r="A11" s="29">
        <v>5</v>
      </c>
      <c r="B11" s="31">
        <f t="shared" si="2"/>
        <v>12241.1</v>
      </c>
      <c r="C11" s="31">
        <v>0</v>
      </c>
      <c r="D11" s="31">
        <v>10692.67</v>
      </c>
      <c r="E11" s="31">
        <f t="shared" si="0"/>
        <v>1548.4300000000003</v>
      </c>
      <c r="F11" s="31">
        <f>E11+SUM(C12:C37)-SUM(D12:D37)</f>
        <v>5562.3399999999983</v>
      </c>
      <c r="G11" s="30" t="s">
        <v>274</v>
      </c>
      <c r="H11" s="29" t="str">
        <f t="shared" si="1"/>
        <v/>
      </c>
    </row>
    <row r="12" spans="1:10" x14ac:dyDescent="0.3">
      <c r="A12" s="29">
        <v>6</v>
      </c>
      <c r="B12" s="31">
        <f t="shared" si="2"/>
        <v>1548.4300000000003</v>
      </c>
      <c r="C12" s="31">
        <v>0</v>
      </c>
      <c r="D12" s="31">
        <v>0</v>
      </c>
      <c r="E12" s="31">
        <f t="shared" si="0"/>
        <v>1548.4300000000003</v>
      </c>
      <c r="F12" s="31">
        <f>E12+SUM(C13:C37)-SUM(D13:D37)</f>
        <v>5562.3399999999983</v>
      </c>
      <c r="G12" s="30" t="s">
        <v>203</v>
      </c>
      <c r="H12" s="29" t="str">
        <f t="shared" si="1"/>
        <v/>
      </c>
    </row>
    <row r="13" spans="1:10" x14ac:dyDescent="0.3">
      <c r="A13" s="29">
        <v>7</v>
      </c>
      <c r="B13" s="31">
        <f t="shared" si="2"/>
        <v>1548.4300000000003</v>
      </c>
      <c r="C13" s="31">
        <v>0</v>
      </c>
      <c r="D13" s="31">
        <v>0</v>
      </c>
      <c r="E13" s="31">
        <f t="shared" si="0"/>
        <v>1548.4300000000003</v>
      </c>
      <c r="F13" s="31">
        <f>E13+SUM(C14:C37)-SUM(D14:D37)</f>
        <v>5562.3399999999983</v>
      </c>
      <c r="G13" s="30" t="s">
        <v>203</v>
      </c>
      <c r="H13" s="29" t="str">
        <f t="shared" si="1"/>
        <v/>
      </c>
    </row>
    <row r="14" spans="1:10" x14ac:dyDescent="0.3">
      <c r="A14" s="29">
        <v>8</v>
      </c>
      <c r="B14" s="31">
        <f t="shared" si="2"/>
        <v>1548.4300000000003</v>
      </c>
      <c r="C14" s="31">
        <v>0</v>
      </c>
      <c r="D14" s="31">
        <v>0</v>
      </c>
      <c r="E14" s="31">
        <f t="shared" si="0"/>
        <v>1548.4300000000003</v>
      </c>
      <c r="F14" s="31">
        <f>E14+SUM(C15:C37)-SUM(D15:D37)</f>
        <v>5562.3399999999983</v>
      </c>
      <c r="G14" s="30" t="s">
        <v>203</v>
      </c>
      <c r="H14" s="29" t="str">
        <f t="shared" si="1"/>
        <v/>
      </c>
    </row>
    <row r="15" spans="1:10" x14ac:dyDescent="0.3">
      <c r="A15" s="29">
        <v>9</v>
      </c>
      <c r="B15" s="31">
        <f t="shared" si="2"/>
        <v>1548.4300000000003</v>
      </c>
      <c r="C15" s="31">
        <v>0</v>
      </c>
      <c r="D15" s="31">
        <v>0</v>
      </c>
      <c r="E15" s="31">
        <f t="shared" si="0"/>
        <v>1548.4300000000003</v>
      </c>
      <c r="F15" s="31">
        <f>E15+SUM(C16:C37)-SUM(D16:D37)</f>
        <v>5562.3399999999983</v>
      </c>
      <c r="G15" s="30" t="s">
        <v>203</v>
      </c>
      <c r="H15" s="29" t="str">
        <f t="shared" si="1"/>
        <v/>
      </c>
    </row>
    <row r="16" spans="1:10" x14ac:dyDescent="0.3">
      <c r="A16" s="29">
        <v>10</v>
      </c>
      <c r="B16" s="31">
        <f t="shared" si="2"/>
        <v>1548.4300000000003</v>
      </c>
      <c r="C16" s="31">
        <v>0</v>
      </c>
      <c r="D16" s="31">
        <v>4489.2700000000004</v>
      </c>
      <c r="E16" s="31">
        <f t="shared" si="0"/>
        <v>-2940.84</v>
      </c>
      <c r="F16" s="31">
        <f>E16+SUM(C17:C37)-SUM(D17:D37)</f>
        <v>5562.3399999999983</v>
      </c>
      <c r="G16" s="30" t="s">
        <v>275</v>
      </c>
      <c r="H16" s="29" t="str">
        <f t="shared" si="1"/>
        <v>SEM CAIXA</v>
      </c>
    </row>
    <row r="17" spans="1:8" x14ac:dyDescent="0.3">
      <c r="A17" s="29">
        <v>11</v>
      </c>
      <c r="B17" s="31">
        <f t="shared" si="2"/>
        <v>-2940.84</v>
      </c>
      <c r="C17" s="31">
        <v>0</v>
      </c>
      <c r="D17" s="31">
        <v>0</v>
      </c>
      <c r="E17" s="31">
        <f t="shared" si="0"/>
        <v>-2940.84</v>
      </c>
      <c r="F17" s="31">
        <f>E17+SUM(C18:C37)-SUM(D18:D37)</f>
        <v>5562.3399999999983</v>
      </c>
      <c r="G17" s="30" t="s">
        <v>203</v>
      </c>
      <c r="H17" s="29" t="str">
        <f t="shared" si="1"/>
        <v>SEM CAIXA</v>
      </c>
    </row>
    <row r="18" spans="1:8" x14ac:dyDescent="0.3">
      <c r="A18" s="29">
        <v>12</v>
      </c>
      <c r="B18" s="31">
        <f t="shared" si="2"/>
        <v>-2940.84</v>
      </c>
      <c r="C18" s="31">
        <v>0</v>
      </c>
      <c r="D18" s="31">
        <v>0</v>
      </c>
      <c r="E18" s="31">
        <f t="shared" si="0"/>
        <v>-2940.84</v>
      </c>
      <c r="F18" s="31">
        <f>E18+SUM(C19:C37)-SUM(D19:D37)</f>
        <v>5562.3399999999983</v>
      </c>
      <c r="G18" s="30" t="s">
        <v>203</v>
      </c>
      <c r="H18" s="29" t="str">
        <f t="shared" si="1"/>
        <v>SEM CAIXA</v>
      </c>
    </row>
    <row r="19" spans="1:8" x14ac:dyDescent="0.3">
      <c r="A19" s="29">
        <v>13</v>
      </c>
      <c r="B19" s="31">
        <f t="shared" si="2"/>
        <v>-2940.84</v>
      </c>
      <c r="C19" s="31">
        <v>0</v>
      </c>
      <c r="D19" s="31">
        <v>276.64</v>
      </c>
      <c r="E19" s="31">
        <f t="shared" si="0"/>
        <v>-3217.48</v>
      </c>
      <c r="F19" s="31">
        <f>E19+SUM(C20:C37)-SUM(D20:D37)</f>
        <v>5562.3399999999983</v>
      </c>
      <c r="G19" s="30" t="s">
        <v>276</v>
      </c>
      <c r="H19" s="29" t="str">
        <f t="shared" si="1"/>
        <v>SEM CAIXA</v>
      </c>
    </row>
    <row r="20" spans="1:8" x14ac:dyDescent="0.3">
      <c r="A20" s="29">
        <v>14</v>
      </c>
      <c r="B20" s="31">
        <f t="shared" si="2"/>
        <v>-3217.48</v>
      </c>
      <c r="C20" s="31">
        <v>0</v>
      </c>
      <c r="D20" s="31">
        <v>400.2</v>
      </c>
      <c r="E20" s="31">
        <f t="shared" si="0"/>
        <v>-3617.68</v>
      </c>
      <c r="F20" s="31">
        <f>E20+SUM(C21:C37)-SUM(D21:D37)</f>
        <v>5562.3399999999983</v>
      </c>
      <c r="G20" s="30" t="s">
        <v>277</v>
      </c>
      <c r="H20" s="29" t="str">
        <f t="shared" si="1"/>
        <v>SEM CAIXA</v>
      </c>
    </row>
    <row r="21" spans="1:8" x14ac:dyDescent="0.3">
      <c r="A21" s="29">
        <v>15</v>
      </c>
      <c r="B21" s="31">
        <f t="shared" si="2"/>
        <v>-3617.68</v>
      </c>
      <c r="C21" s="31">
        <v>2500</v>
      </c>
      <c r="D21" s="31">
        <v>1032.49</v>
      </c>
      <c r="E21" s="31">
        <f t="shared" si="0"/>
        <v>-2150.17</v>
      </c>
      <c r="F21" s="31">
        <f>E21+SUM(C22:C37)-SUM(D22:D37)</f>
        <v>5562.3399999999983</v>
      </c>
      <c r="G21" s="30" t="s">
        <v>278</v>
      </c>
      <c r="H21" s="29" t="str">
        <f t="shared" si="1"/>
        <v>SEM CAIXA</v>
      </c>
    </row>
    <row r="22" spans="1:8" x14ac:dyDescent="0.3">
      <c r="A22" s="29">
        <v>16</v>
      </c>
      <c r="B22" s="31">
        <f t="shared" si="2"/>
        <v>-2150.17</v>
      </c>
      <c r="C22" s="31">
        <v>0</v>
      </c>
      <c r="D22" s="31">
        <v>1500</v>
      </c>
      <c r="E22" s="31">
        <f t="shared" si="0"/>
        <v>-3650.17</v>
      </c>
      <c r="F22" s="31">
        <f>E22+SUM(C23:C37)-SUM(D23:D37)</f>
        <v>5562.3399999999992</v>
      </c>
      <c r="G22" s="30" t="s">
        <v>279</v>
      </c>
      <c r="H22" s="29" t="str">
        <f t="shared" si="1"/>
        <v>SEM CAIXA</v>
      </c>
    </row>
    <row r="23" spans="1:8" x14ac:dyDescent="0.3">
      <c r="A23" s="29">
        <v>17</v>
      </c>
      <c r="B23" s="31">
        <f t="shared" si="2"/>
        <v>-3650.17</v>
      </c>
      <c r="C23" s="31">
        <v>0</v>
      </c>
      <c r="D23" s="31">
        <v>0</v>
      </c>
      <c r="E23" s="31">
        <f t="shared" si="0"/>
        <v>-3650.17</v>
      </c>
      <c r="F23" s="31">
        <f>E23+SUM(C24:C37)-SUM(D24:D37)</f>
        <v>5562.3399999999992</v>
      </c>
      <c r="G23" s="30" t="s">
        <v>203</v>
      </c>
      <c r="H23" s="29" t="str">
        <f t="shared" si="1"/>
        <v>SEM CAIXA</v>
      </c>
    </row>
    <row r="24" spans="1:8" x14ac:dyDescent="0.3">
      <c r="A24" s="29">
        <v>18</v>
      </c>
      <c r="B24" s="31">
        <f t="shared" si="2"/>
        <v>-3650.17</v>
      </c>
      <c r="C24" s="31">
        <v>0</v>
      </c>
      <c r="D24" s="31">
        <v>0</v>
      </c>
      <c r="E24" s="31">
        <f t="shared" si="0"/>
        <v>-3650.17</v>
      </c>
      <c r="F24" s="31">
        <f>E24+SUM(C25:C37)-SUM(D25:D37)</f>
        <v>5562.3399999999992</v>
      </c>
      <c r="G24" s="30" t="s">
        <v>203</v>
      </c>
      <c r="H24" s="29" t="str">
        <f t="shared" si="1"/>
        <v>SEM CAIXA</v>
      </c>
    </row>
    <row r="25" spans="1:8" x14ac:dyDescent="0.3">
      <c r="A25" s="29">
        <v>19</v>
      </c>
      <c r="B25" s="31">
        <f t="shared" si="2"/>
        <v>-3650.17</v>
      </c>
      <c r="C25" s="31">
        <v>0</v>
      </c>
      <c r="D25" s="31">
        <v>0</v>
      </c>
      <c r="E25" s="31">
        <f t="shared" si="0"/>
        <v>-3650.17</v>
      </c>
      <c r="F25" s="31">
        <f>E25+SUM(C26:C37)-SUM(D26:D37)</f>
        <v>5562.3399999999992</v>
      </c>
      <c r="G25" s="30" t="s">
        <v>203</v>
      </c>
      <c r="H25" s="29" t="str">
        <f t="shared" si="1"/>
        <v>SEM CAIXA</v>
      </c>
    </row>
    <row r="26" spans="1:8" x14ac:dyDescent="0.3">
      <c r="A26" s="29">
        <v>20</v>
      </c>
      <c r="B26" s="31">
        <f t="shared" si="2"/>
        <v>-3650.17</v>
      </c>
      <c r="C26" s="31">
        <v>0</v>
      </c>
      <c r="D26" s="31">
        <v>3885.53</v>
      </c>
      <c r="E26" s="31">
        <f t="shared" si="0"/>
        <v>-7535.7000000000007</v>
      </c>
      <c r="F26" s="31">
        <f>E26+SUM(C27:C37)-SUM(D27:D37)</f>
        <v>5562.3399999999983</v>
      </c>
      <c r="G26" s="30" t="s">
        <v>280</v>
      </c>
      <c r="H26" s="29" t="str">
        <f t="shared" si="1"/>
        <v>SEM CAIXA</v>
      </c>
    </row>
    <row r="27" spans="1:8" x14ac:dyDescent="0.3">
      <c r="A27" s="29">
        <v>21</v>
      </c>
      <c r="B27" s="31">
        <f t="shared" si="2"/>
        <v>-7535.7000000000007</v>
      </c>
      <c r="C27" s="31">
        <v>0</v>
      </c>
      <c r="D27" s="31">
        <v>0</v>
      </c>
      <c r="E27" s="31">
        <f t="shared" si="0"/>
        <v>-7535.7000000000007</v>
      </c>
      <c r="F27" s="31">
        <f>E27+SUM(C28:C37)-SUM(D28:D37)</f>
        <v>5562.3399999999983</v>
      </c>
      <c r="G27" s="30" t="s">
        <v>203</v>
      </c>
      <c r="H27" s="29" t="str">
        <f t="shared" si="1"/>
        <v>SEM CAIXA</v>
      </c>
    </row>
    <row r="28" spans="1:8" x14ac:dyDescent="0.3">
      <c r="A28" s="29">
        <v>22</v>
      </c>
      <c r="B28" s="31">
        <f t="shared" si="2"/>
        <v>-7535.7000000000007</v>
      </c>
      <c r="C28" s="31">
        <v>0</v>
      </c>
      <c r="D28" s="31">
        <v>0</v>
      </c>
      <c r="E28" s="31">
        <f t="shared" si="0"/>
        <v>-7535.7000000000007</v>
      </c>
      <c r="F28" s="31">
        <f>E28+SUM(C29:C37)-SUM(D29:D37)</f>
        <v>5562.3399999999983</v>
      </c>
      <c r="G28" s="30" t="s">
        <v>203</v>
      </c>
      <c r="H28" s="29" t="str">
        <f t="shared" si="1"/>
        <v>SEM CAIXA</v>
      </c>
    </row>
    <row r="29" spans="1:8" x14ac:dyDescent="0.3">
      <c r="A29" s="29">
        <v>23</v>
      </c>
      <c r="B29" s="31">
        <f t="shared" si="2"/>
        <v>-7535.7000000000007</v>
      </c>
      <c r="C29" s="31">
        <v>0</v>
      </c>
      <c r="D29" s="31">
        <v>1727.55</v>
      </c>
      <c r="E29" s="31">
        <f t="shared" si="0"/>
        <v>-9263.25</v>
      </c>
      <c r="F29" s="31">
        <f>E29+SUM(C30:C37)-SUM(D30:D37)</f>
        <v>5562.3399999999992</v>
      </c>
      <c r="G29" s="30" t="s">
        <v>281</v>
      </c>
      <c r="H29" s="29" t="str">
        <f t="shared" si="1"/>
        <v>SEM CAIXA</v>
      </c>
    </row>
    <row r="30" spans="1:8" x14ac:dyDescent="0.3">
      <c r="A30" s="29">
        <v>24</v>
      </c>
      <c r="B30" s="31">
        <f t="shared" si="2"/>
        <v>-9263.25</v>
      </c>
      <c r="C30" s="31">
        <v>0</v>
      </c>
      <c r="D30" s="31">
        <v>0</v>
      </c>
      <c r="E30" s="31">
        <f t="shared" si="0"/>
        <v>-9263.25</v>
      </c>
      <c r="F30" s="31">
        <f>E30+SUM(C31:C37)-SUM(D31:D37)</f>
        <v>5562.3399999999992</v>
      </c>
      <c r="G30" s="30" t="s">
        <v>203</v>
      </c>
      <c r="H30" s="29" t="str">
        <f t="shared" si="1"/>
        <v>SEM CAIXA</v>
      </c>
    </row>
    <row r="31" spans="1:8" x14ac:dyDescent="0.3">
      <c r="A31" s="29">
        <v>25</v>
      </c>
      <c r="B31" s="31">
        <f t="shared" si="2"/>
        <v>-9263.25</v>
      </c>
      <c r="C31" s="31">
        <v>0</v>
      </c>
      <c r="D31" s="31">
        <v>371.62</v>
      </c>
      <c r="E31" s="31">
        <f t="shared" si="0"/>
        <v>-9634.8700000000008</v>
      </c>
      <c r="F31" s="31">
        <f>E31+SUM(C32:C37)-SUM(D32:D37)</f>
        <v>5562.3399999999983</v>
      </c>
      <c r="G31" s="30" t="s">
        <v>282</v>
      </c>
      <c r="H31" s="29" t="str">
        <f t="shared" si="1"/>
        <v>SEM CAIXA</v>
      </c>
    </row>
    <row r="32" spans="1:8" x14ac:dyDescent="0.3">
      <c r="A32" s="29">
        <v>26</v>
      </c>
      <c r="B32" s="31">
        <f t="shared" si="2"/>
        <v>-9634.8700000000008</v>
      </c>
      <c r="C32" s="31">
        <v>0</v>
      </c>
      <c r="D32" s="31">
        <v>0</v>
      </c>
      <c r="E32" s="31">
        <f t="shared" si="0"/>
        <v>-9634.8700000000008</v>
      </c>
      <c r="F32" s="31">
        <f>E32+SUM(C33:C37)-SUM(D33:D37)</f>
        <v>5562.3399999999983</v>
      </c>
      <c r="G32" s="30" t="s">
        <v>203</v>
      </c>
      <c r="H32" s="29" t="str">
        <f t="shared" si="1"/>
        <v>SEM CAIXA</v>
      </c>
    </row>
    <row r="33" spans="1:8" x14ac:dyDescent="0.3">
      <c r="A33" s="29">
        <v>27</v>
      </c>
      <c r="B33" s="31">
        <f t="shared" si="2"/>
        <v>-9634.8700000000008</v>
      </c>
      <c r="C33" s="31">
        <v>0</v>
      </c>
      <c r="D33" s="31">
        <v>0</v>
      </c>
      <c r="E33" s="31">
        <f t="shared" si="0"/>
        <v>-9634.8700000000008</v>
      </c>
      <c r="F33" s="31">
        <f>E33+SUM(C34:C37)-SUM(D34:D37)</f>
        <v>5562.3399999999983</v>
      </c>
      <c r="G33" s="30" t="s">
        <v>203</v>
      </c>
      <c r="H33" s="29" t="str">
        <f t="shared" si="1"/>
        <v>SEM CAIXA</v>
      </c>
    </row>
    <row r="34" spans="1:8" x14ac:dyDescent="0.3">
      <c r="A34" s="29">
        <v>28</v>
      </c>
      <c r="B34" s="31">
        <f t="shared" si="2"/>
        <v>-9634.8700000000008</v>
      </c>
      <c r="C34" s="31">
        <v>0</v>
      </c>
      <c r="D34" s="31">
        <v>0</v>
      </c>
      <c r="E34" s="31">
        <f t="shared" si="0"/>
        <v>-9634.8700000000008</v>
      </c>
      <c r="F34" s="31">
        <f>E34+SUM(C35:C37)-SUM(D35:D37)</f>
        <v>5562.3399999999983</v>
      </c>
      <c r="G34" s="30" t="s">
        <v>203</v>
      </c>
      <c r="H34" s="29" t="str">
        <f t="shared" si="1"/>
        <v>SEM CAIXA</v>
      </c>
    </row>
    <row r="35" spans="1:8" x14ac:dyDescent="0.3">
      <c r="A35" s="29">
        <v>29</v>
      </c>
      <c r="B35" s="31">
        <f t="shared" si="2"/>
        <v>-9634.8700000000008</v>
      </c>
      <c r="C35" s="31">
        <v>0</v>
      </c>
      <c r="D35" s="31">
        <v>0</v>
      </c>
      <c r="E35" s="31">
        <f t="shared" si="0"/>
        <v>-9634.8700000000008</v>
      </c>
      <c r="F35" s="31">
        <f>E35+SUM(C36:C37)-SUM(D36:D37)</f>
        <v>5562.3399999999983</v>
      </c>
      <c r="G35" s="30" t="s">
        <v>203</v>
      </c>
      <c r="H35" s="29" t="str">
        <f t="shared" si="1"/>
        <v>SEM CAIXA</v>
      </c>
    </row>
    <row r="36" spans="1:8" x14ac:dyDescent="0.3">
      <c r="A36" s="29">
        <v>30</v>
      </c>
      <c r="B36" s="31">
        <f t="shared" si="2"/>
        <v>-9634.8700000000008</v>
      </c>
      <c r="C36" s="31">
        <v>15597.21</v>
      </c>
      <c r="D36" s="31">
        <v>400</v>
      </c>
      <c r="E36" s="31">
        <f t="shared" si="0"/>
        <v>5562.3399999999983</v>
      </c>
      <c r="F36" s="31">
        <f>E36+SUM(C37:C37)-SUM(D37:D37)</f>
        <v>5562.3399999999983</v>
      </c>
      <c r="G36" s="30" t="s">
        <v>283</v>
      </c>
      <c r="H36" s="29" t="str">
        <f t="shared" si="1"/>
        <v/>
      </c>
    </row>
    <row r="37" spans="1:8" x14ac:dyDescent="0.3">
      <c r="A37" s="29">
        <v>31</v>
      </c>
      <c r="B37" s="31">
        <f t="shared" si="2"/>
        <v>5562.3399999999983</v>
      </c>
      <c r="C37" s="31">
        <v>0</v>
      </c>
      <c r="D37" s="31">
        <v>0</v>
      </c>
      <c r="E37" s="31">
        <f t="shared" si="0"/>
        <v>5562.3399999999983</v>
      </c>
      <c r="F37" s="31">
        <f>E37</f>
        <v>5562.3399999999983</v>
      </c>
      <c r="G37" s="30" t="s">
        <v>203</v>
      </c>
      <c r="H37" s="29" t="str">
        <f t="shared" si="1"/>
        <v/>
      </c>
    </row>
    <row r="38" spans="1:8" x14ac:dyDescent="0.3">
      <c r="A38" s="39" t="s">
        <v>284</v>
      </c>
      <c r="B38" s="39"/>
      <c r="C38" s="41">
        <f>SUM(C7:C37)</f>
        <v>30530.309999999998</v>
      </c>
      <c r="D38" s="41">
        <f>SUM(D7:D37)</f>
        <v>24967.969999999998</v>
      </c>
      <c r="E38" s="41">
        <f>E37</f>
        <v>5562.3399999999983</v>
      </c>
      <c r="F38" s="39"/>
      <c r="G38" s="39"/>
      <c r="H38" s="39"/>
    </row>
    <row r="40" spans="1:8" x14ac:dyDescent="0.3">
      <c r="A40" s="2" t="s">
        <v>285</v>
      </c>
    </row>
  </sheetData>
  <mergeCells count="1">
    <mergeCell ref="A1:I1"/>
  </mergeCells>
  <conditionalFormatting sqref="A7:H37">
    <cfRule type="expression" dxfId="25" priority="1">
      <formula>$H7="SEM CAIXA"</formula>
    </cfRule>
  </conditionalFormatting>
  <conditionalFormatting sqref="E7:F37">
    <cfRule type="cellIs" dxfId="24" priority="2" operator="lessThan">
      <formula>0</formula>
    </cfRule>
  </conditionalFormatting>
  <conditionalFormatting sqref="H7:H37">
    <cfRule type="expression" dxfId="23" priority="3">
      <formula>$H7="APERTADO"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workbookViewId="0">
      <pane ySplit="4" topLeftCell="A5" activePane="bottomLeft" state="frozen"/>
      <selection pane="bottomLeft" activeCell="D5" sqref="D5"/>
    </sheetView>
  </sheetViews>
  <sheetFormatPr defaultRowHeight="14.4" x14ac:dyDescent="0.3"/>
  <cols>
    <col min="1" max="1" width="28" customWidth="1"/>
    <col min="2" max="2" width="14" customWidth="1"/>
    <col min="3" max="3" width="20" customWidth="1"/>
    <col min="4" max="4" width="11" customWidth="1"/>
    <col min="5" max="6" width="14" customWidth="1"/>
    <col min="7" max="7" width="12" customWidth="1"/>
    <col min="8" max="8" width="42" customWidth="1"/>
    <col min="12" max="12" width="20" customWidth="1"/>
  </cols>
  <sheetData>
    <row r="1" spans="1:12" ht="21" x14ac:dyDescent="0.4">
      <c r="A1" s="81" t="s">
        <v>286</v>
      </c>
      <c r="B1" s="80"/>
      <c r="C1" s="80"/>
      <c r="D1" s="80"/>
      <c r="E1" s="80"/>
      <c r="F1" s="80"/>
      <c r="G1" s="80"/>
      <c r="H1" s="80"/>
      <c r="K1" t="s">
        <v>287</v>
      </c>
    </row>
    <row r="2" spans="1:12" x14ac:dyDescent="0.3">
      <c r="A2" s="82" t="s">
        <v>288</v>
      </c>
      <c r="B2" s="80"/>
      <c r="C2" s="80"/>
      <c r="D2" s="80"/>
      <c r="E2" s="80"/>
      <c r="F2" s="80"/>
      <c r="G2" s="80"/>
      <c r="H2" s="80"/>
      <c r="K2" t="s">
        <v>289</v>
      </c>
      <c r="L2" s="20">
        <f>C19</f>
        <v>12355.680000000002</v>
      </c>
    </row>
    <row r="3" spans="1:12" x14ac:dyDescent="0.3">
      <c r="K3" t="s">
        <v>290</v>
      </c>
      <c r="L3" s="20">
        <f>C20</f>
        <v>6741.5199999999995</v>
      </c>
    </row>
    <row r="4" spans="1:12" ht="22.05" customHeight="1" x14ac:dyDescent="0.3">
      <c r="A4" s="10" t="s">
        <v>13</v>
      </c>
      <c r="B4" s="10" t="s">
        <v>84</v>
      </c>
      <c r="C4" s="10" t="s">
        <v>14</v>
      </c>
      <c r="D4" s="10" t="s">
        <v>291</v>
      </c>
      <c r="E4" s="10" t="s">
        <v>292</v>
      </c>
      <c r="F4" s="10" t="s">
        <v>293</v>
      </c>
      <c r="G4" s="10" t="s">
        <v>83</v>
      </c>
      <c r="H4" s="10" t="s">
        <v>229</v>
      </c>
      <c r="K4" t="s">
        <v>294</v>
      </c>
      <c r="L4" s="20">
        <f>C21</f>
        <v>5614.1599999999989</v>
      </c>
    </row>
    <row r="5" spans="1:12" x14ac:dyDescent="0.3">
      <c r="A5" s="30" t="s">
        <v>115</v>
      </c>
      <c r="B5" s="30" t="s">
        <v>116</v>
      </c>
      <c r="C5" s="31">
        <v>3200</v>
      </c>
      <c r="D5" s="50">
        <f>IFERROR(INDEX(Contas_Ago_Jan!$B$5:$B$99,MATCH(A5,Contas_Ago_Jan!$A$5:$A$99,0)),20)</f>
        <v>15</v>
      </c>
      <c r="E5" s="30" t="s">
        <v>295</v>
      </c>
      <c r="F5" s="30" t="s">
        <v>296</v>
      </c>
      <c r="G5" s="51" t="s">
        <v>110</v>
      </c>
      <c r="H5" s="30" t="s">
        <v>297</v>
      </c>
    </row>
    <row r="6" spans="1:12" x14ac:dyDescent="0.3">
      <c r="A6" s="35" t="s">
        <v>101</v>
      </c>
      <c r="B6" s="35" t="s">
        <v>97</v>
      </c>
      <c r="C6" s="36">
        <v>2280</v>
      </c>
      <c r="D6" s="50">
        <f>IFERROR(INDEX(Contas_Ago_Jan!$B$5:$B$99,MATCH(A6,Contas_Ago_Jan!$A$5:$A$99,0)),10)</f>
        <v>3</v>
      </c>
      <c r="E6" s="35" t="s">
        <v>298</v>
      </c>
      <c r="F6" s="35" t="s">
        <v>299</v>
      </c>
      <c r="G6" s="52" t="s">
        <v>86</v>
      </c>
      <c r="H6" s="35" t="s">
        <v>300</v>
      </c>
    </row>
    <row r="7" spans="1:12" x14ac:dyDescent="0.3">
      <c r="A7" s="30" t="s">
        <v>113</v>
      </c>
      <c r="B7" s="30" t="s">
        <v>114</v>
      </c>
      <c r="C7" s="31">
        <v>1500</v>
      </c>
      <c r="D7" s="50">
        <f>IFERROR(INDEX(Contas_Ago_Jan!$B$5:$B$99,MATCH(A7,Contas_Ago_Jan!$A$5:$A$99,0)),16)</f>
        <v>16</v>
      </c>
      <c r="E7" s="30" t="s">
        <v>298</v>
      </c>
      <c r="F7" s="30" t="s">
        <v>256</v>
      </c>
      <c r="G7" s="51" t="s">
        <v>110</v>
      </c>
      <c r="H7" s="30" t="s">
        <v>301</v>
      </c>
    </row>
    <row r="8" spans="1:12" x14ac:dyDescent="0.3">
      <c r="A8" s="35" t="s">
        <v>102</v>
      </c>
      <c r="B8" s="35" t="s">
        <v>103</v>
      </c>
      <c r="C8" s="36">
        <v>385</v>
      </c>
      <c r="D8" s="50">
        <f>IFERROR(INDEX(Contas_Ago_Jan!$B$5:$B$99,MATCH(A8,Contas_Ago_Jan!$A$5:$A$99,0)),10)</f>
        <v>5</v>
      </c>
      <c r="E8" s="35" t="s">
        <v>302</v>
      </c>
      <c r="F8" s="35" t="s">
        <v>303</v>
      </c>
      <c r="G8" s="52" t="s">
        <v>86</v>
      </c>
      <c r="H8" s="35" t="s">
        <v>300</v>
      </c>
    </row>
    <row r="9" spans="1:12" x14ac:dyDescent="0.3">
      <c r="A9" s="30" t="s">
        <v>120</v>
      </c>
      <c r="B9" s="30" t="s">
        <v>121</v>
      </c>
      <c r="C9" s="31">
        <v>371.62</v>
      </c>
      <c r="D9" s="50">
        <f>IFERROR(INDEX(Contas_Ago_Jan!$B$5:$B$99,MATCH(A9,Contas_Ago_Jan!$A$5:$A$99,0)),25)</f>
        <v>15</v>
      </c>
      <c r="E9" s="30" t="s">
        <v>304</v>
      </c>
      <c r="F9" s="30" t="s">
        <v>305</v>
      </c>
      <c r="G9" s="51" t="s">
        <v>110</v>
      </c>
      <c r="H9" s="30" t="s">
        <v>297</v>
      </c>
    </row>
    <row r="10" spans="1:12" x14ac:dyDescent="0.3">
      <c r="A10" s="35" t="s">
        <v>111</v>
      </c>
      <c r="B10" s="35" t="s">
        <v>112</v>
      </c>
      <c r="C10" s="36">
        <v>336</v>
      </c>
      <c r="D10" s="50">
        <f>IFERROR(INDEX(Contas_Ago_Jan!$B$5:$B$99,MATCH(A10,Contas_Ago_Jan!$A$5:$A$99,0)),15)</f>
        <v>5</v>
      </c>
      <c r="E10" s="35" t="s">
        <v>306</v>
      </c>
      <c r="F10" s="35" t="s">
        <v>307</v>
      </c>
      <c r="G10" s="52" t="s">
        <v>86</v>
      </c>
      <c r="H10" s="35" t="s">
        <v>300</v>
      </c>
    </row>
    <row r="11" spans="1:12" x14ac:dyDescent="0.3">
      <c r="A11" s="30" t="s">
        <v>167</v>
      </c>
      <c r="B11" s="30" t="s">
        <v>97</v>
      </c>
      <c r="C11" s="31">
        <v>1123.92</v>
      </c>
      <c r="D11" s="50">
        <f>IFERROR(INDEX(Contas_Ago_Jan!$B$5:$B$99,MATCH(A11,Contas_Ago_Jan!$A$5:$A$99,0)),10)</f>
        <v>15</v>
      </c>
      <c r="E11" s="30" t="s">
        <v>308</v>
      </c>
      <c r="F11" s="30" t="s">
        <v>309</v>
      </c>
      <c r="G11" s="52" t="s">
        <v>86</v>
      </c>
      <c r="H11" s="30" t="s">
        <v>310</v>
      </c>
    </row>
    <row r="12" spans="1:12" x14ac:dyDescent="0.3">
      <c r="A12" s="35" t="s">
        <v>104</v>
      </c>
      <c r="B12" s="35" t="s">
        <v>97</v>
      </c>
      <c r="C12" s="36">
        <v>558.73</v>
      </c>
      <c r="D12" s="50">
        <f>IFERROR(INDEX(Contas_Ago_Jan!$B$5:$B$99,MATCH(A12,Contas_Ago_Jan!$A$5:$A$99,0)),10)</f>
        <v>10</v>
      </c>
      <c r="E12" s="35" t="s">
        <v>311</v>
      </c>
      <c r="F12" s="35" t="s">
        <v>312</v>
      </c>
      <c r="G12" s="52" t="s">
        <v>86</v>
      </c>
      <c r="H12" s="35" t="s">
        <v>300</v>
      </c>
    </row>
    <row r="13" spans="1:12" x14ac:dyDescent="0.3">
      <c r="A13" s="30" t="s">
        <v>105</v>
      </c>
      <c r="B13" s="30" t="s">
        <v>97</v>
      </c>
      <c r="C13" s="31">
        <v>400.57</v>
      </c>
      <c r="D13" s="50">
        <f>IFERROR(INDEX(Contas_Ago_Jan!$B$5:$B$99,MATCH(A13,Contas_Ago_Jan!$A$5:$A$99,0)),10)</f>
        <v>10</v>
      </c>
      <c r="E13" s="30" t="s">
        <v>311</v>
      </c>
      <c r="F13" s="30" t="s">
        <v>312</v>
      </c>
      <c r="G13" s="52" t="s">
        <v>86</v>
      </c>
      <c r="H13" s="30" t="s">
        <v>300</v>
      </c>
    </row>
    <row r="14" spans="1:12" x14ac:dyDescent="0.3">
      <c r="A14" s="35" t="s">
        <v>106</v>
      </c>
      <c r="B14" s="35" t="s">
        <v>97</v>
      </c>
      <c r="C14" s="36">
        <v>337.94</v>
      </c>
      <c r="D14" s="50">
        <f>IFERROR(INDEX(Contas_Ago_Jan!$B$5:$B$99,MATCH(A14,Contas_Ago_Jan!$A$5:$A$99,0)),10)</f>
        <v>10</v>
      </c>
      <c r="E14" s="35" t="s">
        <v>311</v>
      </c>
      <c r="F14" s="35" t="s">
        <v>313</v>
      </c>
      <c r="G14" s="52" t="s">
        <v>86</v>
      </c>
      <c r="H14" s="35" t="s">
        <v>300</v>
      </c>
    </row>
    <row r="15" spans="1:12" x14ac:dyDescent="0.3">
      <c r="A15" s="30" t="s">
        <v>117</v>
      </c>
      <c r="B15" s="30" t="s">
        <v>118</v>
      </c>
      <c r="C15" s="31">
        <v>685.53</v>
      </c>
      <c r="D15" s="50">
        <f>IFERROR(INDEX(Contas_Ago_Jan!$B$5:$B$99,MATCH(A15,Contas_Ago_Jan!$A$5:$A$99,0)),20)</f>
        <v>20</v>
      </c>
      <c r="E15" s="30" t="s">
        <v>314</v>
      </c>
      <c r="F15" s="30" t="s">
        <v>303</v>
      </c>
      <c r="G15" s="51" t="s">
        <v>110</v>
      </c>
      <c r="H15" s="30" t="s">
        <v>315</v>
      </c>
    </row>
    <row r="16" spans="1:12" x14ac:dyDescent="0.3">
      <c r="A16" s="35" t="s">
        <v>85</v>
      </c>
      <c r="B16" s="35" t="s">
        <v>87</v>
      </c>
      <c r="C16" s="36">
        <v>192</v>
      </c>
      <c r="D16" s="50">
        <f>IFERROR(INDEX(Contas_Ago_Jan!$B$5:$B$99,MATCH(A16,Contas_Ago_Jan!$A$5:$A$99,0)),3)</f>
        <v>3</v>
      </c>
      <c r="E16" s="35" t="s">
        <v>316</v>
      </c>
      <c r="F16" s="35" t="s">
        <v>303</v>
      </c>
      <c r="G16" s="52" t="s">
        <v>86</v>
      </c>
      <c r="H16" s="35" t="s">
        <v>317</v>
      </c>
    </row>
    <row r="17" spans="1:8" x14ac:dyDescent="0.3">
      <c r="A17" s="30" t="s">
        <v>122</v>
      </c>
      <c r="B17" s="30" t="s">
        <v>123</v>
      </c>
      <c r="C17" s="31">
        <v>400</v>
      </c>
      <c r="D17" s="50">
        <f>IFERROR(INDEX(Contas_Ago_Jan!$B$5:$B$99,MATCH(A17,Contas_Ago_Jan!$A$5:$A$99,0)),30)</f>
        <v>30</v>
      </c>
      <c r="E17" s="30" t="s">
        <v>318</v>
      </c>
      <c r="F17" s="30" t="s">
        <v>299</v>
      </c>
      <c r="G17" s="51" t="s">
        <v>110</v>
      </c>
      <c r="H17" s="30" t="s">
        <v>319</v>
      </c>
    </row>
    <row r="18" spans="1:8" x14ac:dyDescent="0.3">
      <c r="A18" s="35" t="s">
        <v>165</v>
      </c>
      <c r="B18" s="35" t="s">
        <v>97</v>
      </c>
      <c r="C18" s="36">
        <v>584.37</v>
      </c>
      <c r="D18" s="50">
        <f>IFERROR(INDEX(Contas_Ago_Jan!$B$5:$B$99,MATCH(A18,Contas_Ago_Jan!$A$5:$A$99,0)),15)</f>
        <v>15</v>
      </c>
      <c r="E18" s="35" t="s">
        <v>306</v>
      </c>
      <c r="F18" s="35" t="s">
        <v>305</v>
      </c>
      <c r="G18" s="51" t="s">
        <v>110</v>
      </c>
      <c r="H18" s="35" t="s">
        <v>320</v>
      </c>
    </row>
    <row r="19" spans="1:8" x14ac:dyDescent="0.3">
      <c r="A19" s="39" t="s">
        <v>321</v>
      </c>
      <c r="B19" s="40"/>
      <c r="C19" s="41">
        <f>SUM(C5:C18)</f>
        <v>12355.680000000002</v>
      </c>
      <c r="D19" s="40"/>
      <c r="E19" s="40"/>
      <c r="F19" s="40"/>
      <c r="G19" s="40"/>
      <c r="H19" s="40"/>
    </row>
    <row r="20" spans="1:8" x14ac:dyDescent="0.3">
      <c r="A20" s="24" t="s">
        <v>322</v>
      </c>
      <c r="B20" s="25"/>
      <c r="C20" s="32">
        <f>SUMIF(G5:G18,"N",C5:C18)</f>
        <v>6741.5199999999995</v>
      </c>
      <c r="D20" s="25"/>
      <c r="E20" s="25"/>
      <c r="F20" s="25"/>
      <c r="G20" s="25"/>
      <c r="H20" s="25"/>
    </row>
    <row r="21" spans="1:8" x14ac:dyDescent="0.3">
      <c r="A21" s="26" t="s">
        <v>323</v>
      </c>
      <c r="B21" s="27"/>
      <c r="C21" s="53">
        <f>SUMIF(G5:G18,"S",C5:C18)</f>
        <v>5614.1599999999989</v>
      </c>
      <c r="D21" s="27"/>
      <c r="E21" s="27"/>
      <c r="F21" s="27"/>
      <c r="G21" s="27"/>
      <c r="H21" s="27"/>
    </row>
  </sheetData>
  <mergeCells count="2">
    <mergeCell ref="A2:H2"/>
    <mergeCell ref="A1:H1"/>
  </mergeCells>
  <dataValidations count="1">
    <dataValidation type="list" allowBlank="1" errorTitle="Pago" error="Use S ou N" sqref="G5:G18" xr:uid="{00000000-0002-0000-0600-000000000000}">
      <formula1>"S,N"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"/>
  <sheetViews>
    <sheetView workbookViewId="0">
      <pane ySplit="5" topLeftCell="A15" activePane="bottomLeft" state="frozen"/>
      <selection pane="bottomLeft" activeCell="D18" sqref="D18"/>
    </sheetView>
  </sheetViews>
  <sheetFormatPr defaultRowHeight="14.4" x14ac:dyDescent="0.3"/>
  <cols>
    <col min="1" max="1" width="30" customWidth="1"/>
    <col min="2" max="5" width="20" customWidth="1"/>
    <col min="6" max="6" width="12" customWidth="1"/>
    <col min="7" max="7" width="28" customWidth="1"/>
    <col min="8" max="9" width="20" customWidth="1"/>
  </cols>
  <sheetData>
    <row r="1" spans="1:9" ht="21" x14ac:dyDescent="0.4">
      <c r="A1" s="81" t="s">
        <v>324</v>
      </c>
      <c r="B1" s="80"/>
      <c r="C1" s="80"/>
      <c r="D1" s="80"/>
      <c r="E1" s="80"/>
      <c r="F1" s="80"/>
      <c r="H1" t="s">
        <v>287</v>
      </c>
    </row>
    <row r="2" spans="1:9" x14ac:dyDescent="0.3">
      <c r="A2" s="2" t="s">
        <v>325</v>
      </c>
      <c r="H2" t="s">
        <v>326</v>
      </c>
      <c r="I2" s="20">
        <f>B10</f>
        <v>49249.19</v>
      </c>
    </row>
    <row r="3" spans="1:9" x14ac:dyDescent="0.3">
      <c r="H3" t="s">
        <v>327</v>
      </c>
      <c r="I3" s="20">
        <f>B18</f>
        <v>64475.960000000006</v>
      </c>
    </row>
    <row r="4" spans="1:9" ht="17.399999999999999" x14ac:dyDescent="0.35">
      <c r="A4" s="1" t="s">
        <v>328</v>
      </c>
      <c r="H4" t="s">
        <v>329</v>
      </c>
      <c r="I4" s="20">
        <f>I2+I3</f>
        <v>113725.15000000001</v>
      </c>
    </row>
    <row r="5" spans="1:9" x14ac:dyDescent="0.3">
      <c r="A5" s="10" t="s">
        <v>330</v>
      </c>
      <c r="B5" s="10" t="s">
        <v>331</v>
      </c>
      <c r="C5" s="10" t="s">
        <v>332</v>
      </c>
      <c r="D5" s="10" t="s">
        <v>333</v>
      </c>
      <c r="E5" s="10" t="s">
        <v>334</v>
      </c>
      <c r="F5" s="10" t="s">
        <v>16</v>
      </c>
      <c r="H5" t="s">
        <v>335</v>
      </c>
      <c r="I5" s="20">
        <f>C14</f>
        <v>9264.93</v>
      </c>
    </row>
    <row r="6" spans="1:9" x14ac:dyDescent="0.3">
      <c r="A6" s="30" t="s">
        <v>336</v>
      </c>
      <c r="B6" s="31">
        <v>26974</v>
      </c>
      <c r="C6" s="31">
        <v>1123.92</v>
      </c>
      <c r="D6" s="29">
        <f>IF(C6=0,"—",ROUNDUP(B6/C6,0))</f>
        <v>24</v>
      </c>
      <c r="E6" s="30" t="s">
        <v>309</v>
      </c>
      <c r="F6" s="52" t="s">
        <v>337</v>
      </c>
      <c r="H6" t="s">
        <v>338</v>
      </c>
      <c r="I6" s="20">
        <f>C10</f>
        <v>2421.1600000000003</v>
      </c>
    </row>
    <row r="7" spans="1:9" x14ac:dyDescent="0.3">
      <c r="A7" s="35" t="s">
        <v>339</v>
      </c>
      <c r="B7" s="36">
        <v>7116.36</v>
      </c>
      <c r="C7" s="36">
        <v>558.73</v>
      </c>
      <c r="D7" s="38">
        <f>IF(C7=0,"—",ROUNDUP(B7/C7,0))</f>
        <v>13</v>
      </c>
      <c r="E7" s="35" t="s">
        <v>312</v>
      </c>
      <c r="F7" s="52" t="s">
        <v>337</v>
      </c>
      <c r="H7" t="s">
        <v>340</v>
      </c>
      <c r="I7" s="20">
        <f>H28</f>
        <v>567.74</v>
      </c>
    </row>
    <row r="8" spans="1:9" x14ac:dyDescent="0.3">
      <c r="A8" s="30" t="s">
        <v>341</v>
      </c>
      <c r="B8" s="31">
        <v>9893.74</v>
      </c>
      <c r="C8" s="31">
        <v>400.57</v>
      </c>
      <c r="D8" s="29">
        <f>IF(C8=0,"—",ROUNDUP(B8/C8,0))</f>
        <v>25</v>
      </c>
      <c r="E8" s="30" t="s">
        <v>312</v>
      </c>
      <c r="F8" s="52" t="s">
        <v>337</v>
      </c>
    </row>
    <row r="9" spans="1:9" x14ac:dyDescent="0.3">
      <c r="A9" s="35" t="s">
        <v>342</v>
      </c>
      <c r="B9" s="36">
        <v>5265.09</v>
      </c>
      <c r="C9" s="36">
        <v>337.94</v>
      </c>
      <c r="D9" s="38">
        <f>IF(C9=0,"—",ROUNDUP(B9/C9,0))</f>
        <v>16</v>
      </c>
      <c r="E9" s="35" t="s">
        <v>313</v>
      </c>
      <c r="F9" s="52" t="s">
        <v>337</v>
      </c>
    </row>
    <row r="10" spans="1:9" x14ac:dyDescent="0.3">
      <c r="A10" s="39" t="s">
        <v>284</v>
      </c>
      <c r="B10" s="41">
        <f>SUM(B6:B9)</f>
        <v>49249.19</v>
      </c>
      <c r="C10" s="41">
        <f>SUM(C6:C9)</f>
        <v>2421.1600000000003</v>
      </c>
      <c r="D10" s="39"/>
      <c r="E10" s="39"/>
      <c r="F10" s="39"/>
    </row>
    <row r="12" spans="1:9" ht="17.399999999999999" x14ac:dyDescent="0.35">
      <c r="A12" s="1" t="s">
        <v>343</v>
      </c>
    </row>
    <row r="13" spans="1:9" x14ac:dyDescent="0.3">
      <c r="A13" s="10" t="s">
        <v>330</v>
      </c>
      <c r="B13" s="10" t="s">
        <v>344</v>
      </c>
      <c r="C13" s="10" t="s">
        <v>345</v>
      </c>
      <c r="D13" s="10" t="s">
        <v>346</v>
      </c>
      <c r="E13" s="10" t="s">
        <v>347</v>
      </c>
      <c r="F13" s="10" t="s">
        <v>16</v>
      </c>
      <c r="G13" s="3" t="s">
        <v>348</v>
      </c>
    </row>
    <row r="14" spans="1:9" ht="36" customHeight="1" x14ac:dyDescent="0.3">
      <c r="A14" s="30" t="s">
        <v>349</v>
      </c>
      <c r="B14" s="31">
        <v>36946.959999999999</v>
      </c>
      <c r="C14" s="31">
        <f>E40</f>
        <v>9264.93</v>
      </c>
      <c r="D14" s="31">
        <v>0</v>
      </c>
      <c r="E14" s="29">
        <v>1</v>
      </c>
      <c r="F14" s="54" t="s">
        <v>350</v>
      </c>
      <c r="G14" s="55" t="s">
        <v>351</v>
      </c>
    </row>
    <row r="15" spans="1:9" x14ac:dyDescent="0.3">
      <c r="A15" s="30" t="s">
        <v>352</v>
      </c>
      <c r="B15" s="31">
        <v>20988.81</v>
      </c>
      <c r="C15" s="31">
        <v>0</v>
      </c>
      <c r="D15" s="31">
        <v>4155.54</v>
      </c>
      <c r="E15" s="29">
        <v>2</v>
      </c>
      <c r="F15" s="51" t="s">
        <v>353</v>
      </c>
    </row>
    <row r="16" spans="1:9" x14ac:dyDescent="0.3">
      <c r="A16" s="30" t="s">
        <v>354</v>
      </c>
      <c r="B16" s="31">
        <v>6540.19</v>
      </c>
      <c r="C16" s="31">
        <v>0</v>
      </c>
      <c r="D16" s="31">
        <v>6540.19</v>
      </c>
      <c r="E16" s="29">
        <v>3</v>
      </c>
      <c r="F16" s="50" t="s">
        <v>355</v>
      </c>
    </row>
    <row r="17" spans="1:8" x14ac:dyDescent="0.3">
      <c r="A17" s="30" t="s">
        <v>356</v>
      </c>
      <c r="B17" s="31">
        <v>0</v>
      </c>
      <c r="C17" s="31">
        <v>0</v>
      </c>
      <c r="D17" s="31">
        <v>527.03</v>
      </c>
      <c r="E17" s="29" t="s">
        <v>203</v>
      </c>
      <c r="F17" s="52" t="s">
        <v>357</v>
      </c>
    </row>
    <row r="18" spans="1:8" x14ac:dyDescent="0.3">
      <c r="A18" s="39" t="s">
        <v>358</v>
      </c>
      <c r="B18" s="41">
        <f>SUMIF(F14:F17,"&lt;&gt;Quitado",B14:B17)</f>
        <v>64475.960000000006</v>
      </c>
      <c r="C18" s="41">
        <f>SUM(C14:C17)</f>
        <v>9264.93</v>
      </c>
      <c r="D18" s="41">
        <f>D15+D16</f>
        <v>10695.73</v>
      </c>
      <c r="E18" s="39"/>
      <c r="F18" s="39"/>
    </row>
    <row r="20" spans="1:8" ht="17.399999999999999" x14ac:dyDescent="0.35">
      <c r="A20" s="1" t="s">
        <v>359</v>
      </c>
    </row>
    <row r="21" spans="1:8" x14ac:dyDescent="0.3">
      <c r="A21" s="11" t="s">
        <v>360</v>
      </c>
      <c r="B21" s="12">
        <v>23502.6</v>
      </c>
    </row>
    <row r="22" spans="1:8" x14ac:dyDescent="0.3">
      <c r="A22" s="11" t="s">
        <v>361</v>
      </c>
      <c r="B22" s="12">
        <v>36846</v>
      </c>
    </row>
    <row r="23" spans="1:8" x14ac:dyDescent="0.3">
      <c r="A23" s="11" t="s">
        <v>362</v>
      </c>
      <c r="B23" s="12">
        <v>22928.7</v>
      </c>
    </row>
    <row r="24" spans="1:8" x14ac:dyDescent="0.3">
      <c r="A24" s="39" t="s">
        <v>363</v>
      </c>
      <c r="B24" s="41">
        <f>SUM(B21:B23)</f>
        <v>83277.3</v>
      </c>
    </row>
    <row r="26" spans="1:8" ht="17.399999999999999" x14ac:dyDescent="0.35">
      <c r="A26" s="79" t="s">
        <v>364</v>
      </c>
      <c r="B26" s="80"/>
      <c r="C26" s="80"/>
      <c r="D26" s="80"/>
      <c r="E26" s="80"/>
    </row>
    <row r="27" spans="1:8" x14ac:dyDescent="0.3">
      <c r="A27" s="82" t="s">
        <v>365</v>
      </c>
      <c r="B27" s="80"/>
      <c r="C27" s="80"/>
      <c r="D27" s="80"/>
      <c r="E27" s="80"/>
    </row>
    <row r="28" spans="1:8" ht="23.4" x14ac:dyDescent="0.45">
      <c r="A28" s="56" t="s">
        <v>366</v>
      </c>
      <c r="B28" s="56" t="s">
        <v>367</v>
      </c>
      <c r="C28" s="56" t="s">
        <v>368</v>
      </c>
      <c r="D28" s="56" t="s">
        <v>14</v>
      </c>
      <c r="E28" s="56" t="s">
        <v>369</v>
      </c>
      <c r="G28" s="3" t="s">
        <v>370</v>
      </c>
      <c r="H28" s="57">
        <f>IFERROR(INDEX(E29:E39,MATCH("Não Paga",C29:C39,0)),0)</f>
        <v>567.74</v>
      </c>
    </row>
    <row r="29" spans="1:8" x14ac:dyDescent="0.3">
      <c r="A29" s="58">
        <v>1</v>
      </c>
      <c r="B29" s="58">
        <v>0</v>
      </c>
      <c r="C29" s="59" t="s">
        <v>371</v>
      </c>
      <c r="D29" s="12">
        <v>495.88</v>
      </c>
      <c r="E29" s="60">
        <v>567.74</v>
      </c>
      <c r="G29" s="3" t="s">
        <v>372</v>
      </c>
      <c r="H29" s="11">
        <f>COUNTIF(C29:C39,"Não Paga")</f>
        <v>11</v>
      </c>
    </row>
    <row r="30" spans="1:8" x14ac:dyDescent="0.3">
      <c r="A30" s="58">
        <v>2</v>
      </c>
      <c r="B30" s="58">
        <v>0</v>
      </c>
      <c r="C30" s="59" t="s">
        <v>371</v>
      </c>
      <c r="D30" s="12">
        <v>495.88</v>
      </c>
      <c r="E30" s="60">
        <v>575.21</v>
      </c>
      <c r="G30" s="3" t="s">
        <v>373</v>
      </c>
      <c r="H30" s="12">
        <f>E40</f>
        <v>9264.93</v>
      </c>
    </row>
    <row r="31" spans="1:8" x14ac:dyDescent="0.3">
      <c r="A31" s="58">
        <v>3</v>
      </c>
      <c r="B31" s="58">
        <v>0</v>
      </c>
      <c r="C31" s="59" t="s">
        <v>371</v>
      </c>
      <c r="D31" s="12">
        <v>495.88</v>
      </c>
      <c r="E31" s="60">
        <v>582.73</v>
      </c>
    </row>
    <row r="32" spans="1:8" x14ac:dyDescent="0.3">
      <c r="A32" s="58">
        <v>4</v>
      </c>
      <c r="B32" s="58">
        <v>1</v>
      </c>
      <c r="C32" s="59" t="s">
        <v>371</v>
      </c>
      <c r="D32" s="12">
        <v>919.58</v>
      </c>
      <c r="E32" s="60">
        <v>1038.67</v>
      </c>
    </row>
    <row r="33" spans="1:5" x14ac:dyDescent="0.3">
      <c r="A33" s="58">
        <v>5</v>
      </c>
      <c r="B33" s="58">
        <v>2</v>
      </c>
      <c r="C33" s="59" t="s">
        <v>371</v>
      </c>
      <c r="D33" s="12">
        <v>906.24</v>
      </c>
      <c r="E33" s="60">
        <v>1010.18</v>
      </c>
    </row>
    <row r="34" spans="1:5" x14ac:dyDescent="0.3">
      <c r="A34" s="58">
        <v>6</v>
      </c>
      <c r="B34" s="58">
        <v>3</v>
      </c>
      <c r="C34" s="59" t="s">
        <v>371</v>
      </c>
      <c r="D34" s="12">
        <v>893.1</v>
      </c>
      <c r="E34" s="60">
        <v>981.12</v>
      </c>
    </row>
    <row r="35" spans="1:5" x14ac:dyDescent="0.3">
      <c r="A35" s="58">
        <v>7</v>
      </c>
      <c r="B35" s="58">
        <v>4</v>
      </c>
      <c r="C35" s="59" t="s">
        <v>371</v>
      </c>
      <c r="D35" s="12">
        <v>880.14</v>
      </c>
      <c r="E35" s="60">
        <v>954.5</v>
      </c>
    </row>
    <row r="36" spans="1:5" x14ac:dyDescent="0.3">
      <c r="A36" s="58">
        <v>8</v>
      </c>
      <c r="B36" s="58">
        <v>5</v>
      </c>
      <c r="C36" s="59" t="s">
        <v>371</v>
      </c>
      <c r="D36" s="12">
        <v>865.95</v>
      </c>
      <c r="E36" s="60">
        <v>927.43</v>
      </c>
    </row>
    <row r="37" spans="1:5" x14ac:dyDescent="0.3">
      <c r="A37" s="58">
        <v>9</v>
      </c>
      <c r="B37" s="58">
        <v>6</v>
      </c>
      <c r="C37" s="59" t="s">
        <v>371</v>
      </c>
      <c r="D37" s="12">
        <v>853.74</v>
      </c>
      <c r="E37" s="60">
        <v>901.72</v>
      </c>
    </row>
    <row r="38" spans="1:5" x14ac:dyDescent="0.3">
      <c r="A38" s="58">
        <v>10</v>
      </c>
      <c r="B38" s="58">
        <v>7</v>
      </c>
      <c r="C38" s="59" t="s">
        <v>371</v>
      </c>
      <c r="D38" s="12">
        <v>840.25</v>
      </c>
      <c r="E38" s="60">
        <v>875.15</v>
      </c>
    </row>
    <row r="39" spans="1:5" x14ac:dyDescent="0.3">
      <c r="A39" s="58">
        <v>11</v>
      </c>
      <c r="B39" s="58">
        <v>8</v>
      </c>
      <c r="C39" s="59" t="s">
        <v>371</v>
      </c>
      <c r="D39" s="12">
        <v>827.76</v>
      </c>
      <c r="E39" s="60">
        <v>850.48</v>
      </c>
    </row>
    <row r="40" spans="1:5" x14ac:dyDescent="0.3">
      <c r="A40" s="116" t="s">
        <v>358</v>
      </c>
      <c r="B40" s="123"/>
      <c r="C40" s="124"/>
      <c r="D40" s="41">
        <f>SUMIF(C29:C39,"Não Paga",D29:D39)</f>
        <v>8474.4</v>
      </c>
      <c r="E40" s="41">
        <f>SUMIF(C29:C39,"Não Paga",E29:E39)</f>
        <v>9264.93</v>
      </c>
    </row>
  </sheetData>
  <mergeCells count="4">
    <mergeCell ref="A40:C40"/>
    <mergeCell ref="A1:F1"/>
    <mergeCell ref="A27:E27"/>
    <mergeCell ref="A26:E26"/>
  </mergeCells>
  <conditionalFormatting sqref="C29:C39">
    <cfRule type="expression" dxfId="22" priority="1">
      <formula>C29="Pago"</formula>
    </cfRule>
    <cfRule type="expression" dxfId="21" priority="2">
      <formula>C29="Não Paga"</formula>
    </cfRule>
  </conditionalFormatting>
  <conditionalFormatting sqref="F6:F9">
    <cfRule type="expression" dxfId="20" priority="3">
      <formula>F6="Em dia"</formula>
    </cfRule>
  </conditionalFormatting>
  <conditionalFormatting sqref="F14:F17">
    <cfRule type="expression" dxfId="19" priority="4">
      <formula>F14="Irregular"</formula>
    </cfRule>
    <cfRule type="expression" dxfId="18" priority="5">
      <formula>OR(F14="Em aberto",F14="Pendente",F14="Acordo 10x")</formula>
    </cfRule>
    <cfRule type="expression" dxfId="17" priority="6">
      <formula>F14="Quitado"</formula>
    </cfRule>
  </conditionalFormatting>
  <dataValidations count="1">
    <dataValidation type="list" errorTitle="Situação" error="Use Não Paga ou Pago" sqref="C29:C39" xr:uid="{00000000-0002-0000-0700-000000000000}">
      <formula1>"Não Paga,Pago"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8"/>
  <sheetViews>
    <sheetView workbookViewId="0">
      <pane ySplit="5" topLeftCell="A12" activePane="bottomLeft" state="frozen"/>
      <selection pane="bottomLeft" activeCell="B24" sqref="B24"/>
    </sheetView>
  </sheetViews>
  <sheetFormatPr defaultRowHeight="14.4" x14ac:dyDescent="0.3"/>
  <cols>
    <col min="1" max="1" width="23.21875" customWidth="1"/>
    <col min="2" max="2" width="26" customWidth="1"/>
    <col min="3" max="12" width="20" customWidth="1"/>
    <col min="22" max="22" width="20" customWidth="1"/>
  </cols>
  <sheetData>
    <row r="1" spans="1:22" ht="21" x14ac:dyDescent="0.4">
      <c r="A1" s="81" t="s">
        <v>374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22" x14ac:dyDescent="0.3">
      <c r="A2" s="82" t="s">
        <v>375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U2" t="s">
        <v>376</v>
      </c>
      <c r="V2" s="20">
        <f>J19</f>
        <v>16184.16</v>
      </c>
    </row>
    <row r="3" spans="1:22" x14ac:dyDescent="0.3">
      <c r="A3" s="13" t="s">
        <v>377</v>
      </c>
      <c r="B3" s="26" t="s">
        <v>378</v>
      </c>
      <c r="C3" s="24" t="s">
        <v>379</v>
      </c>
      <c r="D3" s="61" t="s">
        <v>380</v>
      </c>
      <c r="E3" s="23" t="s">
        <v>381</v>
      </c>
      <c r="U3" t="s">
        <v>382</v>
      </c>
      <c r="V3" s="20">
        <f>K19</f>
        <v>52863.920000000013</v>
      </c>
    </row>
    <row r="4" spans="1:22" x14ac:dyDescent="0.3">
      <c r="U4" t="s">
        <v>383</v>
      </c>
      <c r="V4" s="20">
        <f>C19</f>
        <v>78230.31</v>
      </c>
    </row>
    <row r="5" spans="1:22" ht="30" customHeight="1" x14ac:dyDescent="0.3">
      <c r="A5" s="10" t="s">
        <v>330</v>
      </c>
      <c r="B5" s="10" t="s">
        <v>384</v>
      </c>
      <c r="C5" s="10" t="s">
        <v>385</v>
      </c>
      <c r="D5" s="10" t="s">
        <v>386</v>
      </c>
      <c r="E5" s="10" t="s">
        <v>387</v>
      </c>
      <c r="F5" s="10" t="s">
        <v>388</v>
      </c>
      <c r="G5" s="10" t="s">
        <v>389</v>
      </c>
      <c r="H5" s="10" t="s">
        <v>390</v>
      </c>
      <c r="I5" s="10" t="s">
        <v>391</v>
      </c>
      <c r="J5" s="10" t="s">
        <v>392</v>
      </c>
      <c r="K5" s="10" t="s">
        <v>393</v>
      </c>
      <c r="L5" s="10" t="s">
        <v>16</v>
      </c>
      <c r="U5" t="s">
        <v>394</v>
      </c>
      <c r="V5" s="20">
        <f>D19</f>
        <v>54591.470000000016</v>
      </c>
    </row>
    <row r="6" spans="1:22" x14ac:dyDescent="0.3">
      <c r="A6" s="30" t="s">
        <v>311</v>
      </c>
      <c r="B6" s="30" t="s">
        <v>161</v>
      </c>
      <c r="C6" s="62">
        <v>25000</v>
      </c>
      <c r="D6" s="62">
        <v>20608</v>
      </c>
      <c r="E6" s="31">
        <f t="shared" ref="E6:E18" si="0">C6-D6</f>
        <v>4392</v>
      </c>
      <c r="F6" s="63">
        <f t="shared" ref="F6:F19" si="1">IF(C6=0,0,D6/C6)</f>
        <v>0.82432000000000005</v>
      </c>
      <c r="G6" s="33">
        <v>5</v>
      </c>
      <c r="H6" s="50">
        <f>IFERROR(INDEX(Contas_Ago_Jan!$B$5:$B$99,MATCH(B6,Contas_Ago_Jan!$A$5:$A$99,0)),10)</f>
        <v>10</v>
      </c>
      <c r="I6" s="62">
        <v>4300</v>
      </c>
      <c r="J6" s="31">
        <v>4465</v>
      </c>
      <c r="K6" s="31">
        <v>20608</v>
      </c>
      <c r="L6" s="29" t="str">
        <f t="shared" ref="L6:L18" si="2">IF(F6&lt;=0.3,"🟢 Excelente",IF(F6&lt;=0.5,"🟡 Atenção",IF(F6&lt;=0.8,"🟠 Alto","🔴 Crítico")))</f>
        <v>🔴 Crítico</v>
      </c>
      <c r="U6" t="s">
        <v>395</v>
      </c>
      <c r="V6" s="20">
        <f>E19</f>
        <v>23638.84</v>
      </c>
    </row>
    <row r="7" spans="1:22" x14ac:dyDescent="0.3">
      <c r="A7" s="30" t="s">
        <v>396</v>
      </c>
      <c r="B7" s="30" t="s">
        <v>152</v>
      </c>
      <c r="C7" s="62">
        <v>6530</v>
      </c>
      <c r="D7" s="62">
        <v>7605.84</v>
      </c>
      <c r="E7" s="31">
        <f t="shared" si="0"/>
        <v>-1075.8400000000001</v>
      </c>
      <c r="F7" s="63">
        <f t="shared" si="1"/>
        <v>1.1647534456355284</v>
      </c>
      <c r="G7" s="33">
        <v>15</v>
      </c>
      <c r="H7" s="50">
        <f>IFERROR(INDEX(Contas_Ago_Jan!$B$5:$B$99,MATCH(B7,Contas_Ago_Jan!$A$5:$A$99,0)),22)</f>
        <v>1</v>
      </c>
      <c r="I7" s="62">
        <v>300</v>
      </c>
      <c r="J7" s="31">
        <v>2610.5100000000002</v>
      </c>
      <c r="K7" s="31">
        <v>7605.84</v>
      </c>
      <c r="L7" s="29" t="str">
        <f t="shared" si="2"/>
        <v>🔴 Crítico</v>
      </c>
    </row>
    <row r="8" spans="1:22" x14ac:dyDescent="0.3">
      <c r="A8" s="30" t="s">
        <v>397</v>
      </c>
      <c r="B8" s="30" t="s">
        <v>142</v>
      </c>
      <c r="C8" s="62">
        <v>5070</v>
      </c>
      <c r="D8" s="62">
        <v>5634.73</v>
      </c>
      <c r="E8" s="31">
        <f t="shared" si="0"/>
        <v>-564.72999999999956</v>
      </c>
      <c r="F8" s="63">
        <f t="shared" si="1"/>
        <v>1.111386587771203</v>
      </c>
      <c r="G8" s="33">
        <v>10</v>
      </c>
      <c r="H8" s="50">
        <f>IFERROR(INDEX(Contas_Ago_Jan!$B$5:$B$99,MATCH(B8,Contas_Ago_Jan!$A$5:$A$99,0)),17)</f>
        <v>1</v>
      </c>
      <c r="I8" s="62">
        <v>300</v>
      </c>
      <c r="J8" s="31">
        <v>1870.98</v>
      </c>
      <c r="K8" s="31">
        <v>5634.73</v>
      </c>
      <c r="L8" s="29" t="str">
        <f t="shared" si="2"/>
        <v>🔴 Crítico</v>
      </c>
    </row>
    <row r="9" spans="1:22" x14ac:dyDescent="0.3">
      <c r="A9" s="30" t="s">
        <v>397</v>
      </c>
      <c r="B9" s="30" t="s">
        <v>144</v>
      </c>
      <c r="C9" s="62">
        <v>3640</v>
      </c>
      <c r="D9" s="62">
        <v>4633.2299999999996</v>
      </c>
      <c r="E9" s="31">
        <f t="shared" si="0"/>
        <v>-993.22999999999956</v>
      </c>
      <c r="F9" s="63">
        <f t="shared" si="1"/>
        <v>1.2728653846153846</v>
      </c>
      <c r="G9" s="33">
        <v>10</v>
      </c>
      <c r="H9" s="50">
        <f>IFERROR(INDEX(Contas_Ago_Jan!$B$5:$B$99,MATCH(B9,Contas_Ago_Jan!$A$5:$A$99,0)),17)</f>
        <v>1</v>
      </c>
      <c r="I9" s="62">
        <v>300</v>
      </c>
      <c r="J9" s="31">
        <v>1350</v>
      </c>
      <c r="K9" s="31">
        <v>4633.2299999999996</v>
      </c>
      <c r="L9" s="29" t="str">
        <f t="shared" si="2"/>
        <v>🔴 Crítico</v>
      </c>
    </row>
    <row r="10" spans="1:22" x14ac:dyDescent="0.3">
      <c r="A10" s="30" t="s">
        <v>308</v>
      </c>
      <c r="B10" s="30" t="s">
        <v>160</v>
      </c>
      <c r="C10" s="62">
        <v>5640.31</v>
      </c>
      <c r="D10" s="62">
        <v>6638.4000000000005</v>
      </c>
      <c r="E10" s="31">
        <f t="shared" si="0"/>
        <v>-998.09000000000015</v>
      </c>
      <c r="F10" s="63">
        <f t="shared" si="1"/>
        <v>1.1769565857195792</v>
      </c>
      <c r="G10" s="33">
        <v>1</v>
      </c>
      <c r="H10" s="50">
        <f>IFERROR(INDEX(Contas_Ago_Jan!$B$5:$B$99,MATCH(B10,Contas_Ago_Jan!$A$5:$A$99,0)),8)</f>
        <v>5</v>
      </c>
      <c r="I10" s="62">
        <v>0</v>
      </c>
      <c r="J10" s="31">
        <v>737.6</v>
      </c>
      <c r="K10" s="31">
        <v>6638.4000000000005</v>
      </c>
      <c r="L10" s="29" t="str">
        <f t="shared" si="2"/>
        <v>🔴 Crítico</v>
      </c>
    </row>
    <row r="11" spans="1:22" x14ac:dyDescent="0.3">
      <c r="A11" s="30" t="s">
        <v>398</v>
      </c>
      <c r="B11" s="30" t="s">
        <v>95</v>
      </c>
      <c r="C11" s="62">
        <v>5000</v>
      </c>
      <c r="D11" s="62">
        <v>1857</v>
      </c>
      <c r="E11" s="31">
        <f t="shared" si="0"/>
        <v>3143</v>
      </c>
      <c r="F11" s="63">
        <f t="shared" si="1"/>
        <v>0.37140000000000001</v>
      </c>
      <c r="G11" s="33">
        <v>5</v>
      </c>
      <c r="H11" s="50">
        <f>IFERROR(INDEX(Contas_Ago_Jan!$B$5:$B$99,MATCH(B11,Contas_Ago_Jan!$A$5:$A$99,0)),1)</f>
        <v>1</v>
      </c>
      <c r="I11" s="62">
        <v>619</v>
      </c>
      <c r="J11" s="31">
        <v>619</v>
      </c>
      <c r="K11" s="31">
        <v>1857</v>
      </c>
      <c r="L11" s="29" t="str">
        <f t="shared" si="2"/>
        <v>🟡 Atenção</v>
      </c>
    </row>
    <row r="12" spans="1:22" x14ac:dyDescent="0.3">
      <c r="A12" s="30" t="s">
        <v>308</v>
      </c>
      <c r="B12" s="30" t="s">
        <v>158</v>
      </c>
      <c r="C12" s="62">
        <v>1950</v>
      </c>
      <c r="D12" s="62">
        <v>2397.73</v>
      </c>
      <c r="E12" s="31">
        <f t="shared" si="0"/>
        <v>-447.73</v>
      </c>
      <c r="F12" s="63">
        <f t="shared" si="1"/>
        <v>1.2296051282051281</v>
      </c>
      <c r="G12" s="33">
        <v>1</v>
      </c>
      <c r="H12" s="50">
        <f>IFERROR(INDEX(Contas_Ago_Jan!$B$5:$B$99,MATCH(B12,Contas_Ago_Jan!$A$5:$A$99,0)),8)</f>
        <v>5</v>
      </c>
      <c r="I12" s="62">
        <v>1042.08</v>
      </c>
      <c r="J12" s="31">
        <v>1042.08</v>
      </c>
      <c r="K12" s="31">
        <v>2397.73</v>
      </c>
      <c r="L12" s="29" t="str">
        <f t="shared" si="2"/>
        <v>🔴 Crítico</v>
      </c>
    </row>
    <row r="13" spans="1:22" x14ac:dyDescent="0.3">
      <c r="A13" s="30" t="s">
        <v>399</v>
      </c>
      <c r="B13" s="30" t="s">
        <v>400</v>
      </c>
      <c r="C13" s="62">
        <v>3400</v>
      </c>
      <c r="D13" s="62">
        <v>1727.55</v>
      </c>
      <c r="E13" s="31">
        <f t="shared" si="0"/>
        <v>1672.45</v>
      </c>
      <c r="F13" s="63">
        <f t="shared" si="1"/>
        <v>0.50810294117647059</v>
      </c>
      <c r="G13" s="33">
        <v>15</v>
      </c>
      <c r="H13" s="50">
        <f>IFERROR(INDEX(Contas_Ago_Jan!$B$5:$B$99,MATCH(B13,Contas_Ago_Jan!$A$5:$A$99,0)),23)</f>
        <v>23</v>
      </c>
      <c r="I13" s="62">
        <v>1727.55</v>
      </c>
      <c r="J13" s="31">
        <v>0</v>
      </c>
      <c r="K13" s="31">
        <v>0</v>
      </c>
      <c r="L13" s="29" t="str">
        <f t="shared" si="2"/>
        <v>🟠 Alto</v>
      </c>
    </row>
    <row r="14" spans="1:22" x14ac:dyDescent="0.3">
      <c r="A14" s="30" t="s">
        <v>311</v>
      </c>
      <c r="B14" s="30" t="s">
        <v>150</v>
      </c>
      <c r="C14" s="62">
        <v>8000</v>
      </c>
      <c r="D14" s="62">
        <v>1141</v>
      </c>
      <c r="E14" s="31">
        <f t="shared" si="0"/>
        <v>6859</v>
      </c>
      <c r="F14" s="63">
        <f t="shared" si="1"/>
        <v>0.142625</v>
      </c>
      <c r="G14" s="33">
        <v>20</v>
      </c>
      <c r="H14" s="50">
        <f>IFERROR(INDEX(Contas_Ago_Jan!$B$5:$B$99,MATCH(B14,Contas_Ago_Jan!$A$5:$A$99,0)),1)</f>
        <v>1</v>
      </c>
      <c r="I14" s="62">
        <v>1276</v>
      </c>
      <c r="J14" s="31">
        <v>1141</v>
      </c>
      <c r="K14" s="31">
        <v>1141</v>
      </c>
      <c r="L14" s="29" t="str">
        <f t="shared" si="2"/>
        <v>🟢 Excelente</v>
      </c>
    </row>
    <row r="15" spans="1:22" x14ac:dyDescent="0.3">
      <c r="A15" s="30" t="s">
        <v>311</v>
      </c>
      <c r="B15" s="30" t="s">
        <v>151</v>
      </c>
      <c r="C15" s="62">
        <v>3000</v>
      </c>
      <c r="D15" s="62">
        <v>258</v>
      </c>
      <c r="E15" s="31">
        <f t="shared" si="0"/>
        <v>2742</v>
      </c>
      <c r="F15" s="63">
        <f t="shared" si="1"/>
        <v>8.5999999999999993E-2</v>
      </c>
      <c r="G15" s="33">
        <v>20</v>
      </c>
      <c r="H15" s="50">
        <f>IFERROR(INDEX(Contas_Ago_Jan!$B$5:$B$99,MATCH(B15,Contas_Ago_Jan!$A$5:$A$99,0)),1)</f>
        <v>1</v>
      </c>
      <c r="I15" s="62">
        <v>258</v>
      </c>
      <c r="J15" s="31">
        <v>258</v>
      </c>
      <c r="K15" s="31">
        <v>258</v>
      </c>
      <c r="L15" s="29" t="str">
        <f t="shared" si="2"/>
        <v>🟢 Excelente</v>
      </c>
    </row>
    <row r="16" spans="1:22" x14ac:dyDescent="0.3">
      <c r="A16" s="30" t="s">
        <v>311</v>
      </c>
      <c r="B16" s="30" t="s">
        <v>148</v>
      </c>
      <c r="C16" s="62">
        <v>2000</v>
      </c>
      <c r="D16" s="62">
        <v>122.37</v>
      </c>
      <c r="E16" s="31">
        <f t="shared" si="0"/>
        <v>1877.63</v>
      </c>
      <c r="F16" s="63">
        <f t="shared" si="1"/>
        <v>6.1185000000000003E-2</v>
      </c>
      <c r="G16" s="33">
        <v>20</v>
      </c>
      <c r="H16" s="50">
        <f>IFERROR(INDEX(Contas_Ago_Jan!$B$5:$B$99,MATCH(B16,Contas_Ago_Jan!$A$5:$A$99,0)),1)</f>
        <v>1</v>
      </c>
      <c r="I16" s="62">
        <v>191.5</v>
      </c>
      <c r="J16" s="31">
        <v>122.37</v>
      </c>
      <c r="K16" s="31">
        <v>122.37</v>
      </c>
      <c r="L16" s="29" t="str">
        <f t="shared" si="2"/>
        <v>🟢 Excelente</v>
      </c>
    </row>
    <row r="17" spans="1:12" x14ac:dyDescent="0.3">
      <c r="A17" s="30" t="s">
        <v>295</v>
      </c>
      <c r="B17" s="30" t="s">
        <v>145</v>
      </c>
      <c r="C17" s="62">
        <v>5000</v>
      </c>
      <c r="D17" s="62">
        <v>1836.65</v>
      </c>
      <c r="E17" s="31">
        <f t="shared" si="0"/>
        <v>3163.35</v>
      </c>
      <c r="F17" s="63">
        <f t="shared" si="1"/>
        <v>0.36733000000000005</v>
      </c>
      <c r="G17" s="33">
        <v>20</v>
      </c>
      <c r="H17" s="50">
        <f>IFERROR(INDEX(Contas_Ago_Jan!$B$5:$B$99,MATCH(B17,Contas_Ago_Jan!$A$5:$A$99,0)),1)</f>
        <v>1</v>
      </c>
      <c r="I17" s="62">
        <v>2612</v>
      </c>
      <c r="J17" s="31">
        <v>1836.65</v>
      </c>
      <c r="K17" s="31">
        <v>1836.65</v>
      </c>
      <c r="L17" s="29" t="str">
        <f t="shared" si="2"/>
        <v>🟡 Atenção</v>
      </c>
    </row>
    <row r="18" spans="1:12" x14ac:dyDescent="0.3">
      <c r="A18" s="30" t="s">
        <v>399</v>
      </c>
      <c r="B18" s="30" t="s">
        <v>90</v>
      </c>
      <c r="C18" s="62">
        <v>4000</v>
      </c>
      <c r="D18" s="62">
        <v>130.97</v>
      </c>
      <c r="E18" s="31">
        <f t="shared" si="0"/>
        <v>3869.03</v>
      </c>
      <c r="F18" s="63">
        <f t="shared" si="1"/>
        <v>3.2742500000000001E-2</v>
      </c>
      <c r="G18" s="33">
        <v>20</v>
      </c>
      <c r="H18" s="50">
        <f>IFERROR(INDEX(Contas_Ago_Jan!$B$5:$B$99,MATCH(B18,Contas_Ago_Jan!$A$5:$A$99,0)),1)</f>
        <v>1</v>
      </c>
      <c r="I18" s="62">
        <v>419</v>
      </c>
      <c r="J18" s="31">
        <v>130.97</v>
      </c>
      <c r="K18" s="31">
        <v>130.97</v>
      </c>
      <c r="L18" s="29" t="str">
        <f t="shared" si="2"/>
        <v>🟢 Excelente</v>
      </c>
    </row>
    <row r="19" spans="1:12" x14ac:dyDescent="0.3">
      <c r="A19" s="39" t="s">
        <v>284</v>
      </c>
      <c r="B19" s="40"/>
      <c r="C19" s="41">
        <f>SUM(C6:C18)</f>
        <v>78230.31</v>
      </c>
      <c r="D19" s="41">
        <f>SUM(D6:D18)</f>
        <v>54591.470000000016</v>
      </c>
      <c r="E19" s="41">
        <f>SUM(E6:E18)</f>
        <v>23638.84</v>
      </c>
      <c r="F19" s="64">
        <f t="shared" si="1"/>
        <v>0.69783016327047687</v>
      </c>
      <c r="G19" s="40"/>
      <c r="H19" s="40"/>
      <c r="I19" s="41">
        <f>SUM(I6:I18)</f>
        <v>13345.13</v>
      </c>
      <c r="J19" s="41">
        <f>SUM(J6:J18)</f>
        <v>16184.16</v>
      </c>
      <c r="K19" s="41">
        <f>SUM(K6:K18)</f>
        <v>52863.920000000013</v>
      </c>
      <c r="L19" s="40"/>
    </row>
    <row r="21" spans="1:12" ht="17.399999999999999" x14ac:dyDescent="0.35">
      <c r="A21" s="79" t="s">
        <v>401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</row>
    <row r="22" spans="1:12" x14ac:dyDescent="0.3">
      <c r="A22" s="10" t="s">
        <v>384</v>
      </c>
      <c r="B22" s="10" t="s">
        <v>59</v>
      </c>
      <c r="C22" s="10" t="s">
        <v>60</v>
      </c>
      <c r="D22" s="10" t="s">
        <v>61</v>
      </c>
      <c r="E22" s="10" t="s">
        <v>62</v>
      </c>
      <c r="F22" s="10" t="s">
        <v>63</v>
      </c>
      <c r="G22" s="10" t="s">
        <v>64</v>
      </c>
      <c r="H22" s="10" t="s">
        <v>65</v>
      </c>
      <c r="I22" s="10" t="s">
        <v>66</v>
      </c>
      <c r="J22" s="10" t="s">
        <v>67</v>
      </c>
      <c r="K22" s="10" t="s">
        <v>68</v>
      </c>
      <c r="L22" s="10" t="s">
        <v>134</v>
      </c>
    </row>
    <row r="23" spans="1:12" x14ac:dyDescent="0.3">
      <c r="A23" s="11" t="s">
        <v>161</v>
      </c>
      <c r="B23" s="12">
        <v>4465</v>
      </c>
      <c r="C23" s="12">
        <v>3024</v>
      </c>
      <c r="D23" s="12">
        <v>2819</v>
      </c>
      <c r="E23" s="12">
        <v>1900</v>
      </c>
      <c r="F23" s="12">
        <v>1400</v>
      </c>
      <c r="G23" s="12">
        <v>1400</v>
      </c>
      <c r="H23" s="12">
        <v>1400</v>
      </c>
      <c r="I23" s="12">
        <v>1400</v>
      </c>
      <c r="J23" s="12">
        <v>1400</v>
      </c>
      <c r="K23" s="12">
        <v>1400</v>
      </c>
      <c r="L23" s="12">
        <f t="shared" ref="L23:L35" si="3">SUM(B23:K23)</f>
        <v>20608</v>
      </c>
    </row>
    <row r="24" spans="1:12" x14ac:dyDescent="0.3">
      <c r="A24" s="11" t="s">
        <v>152</v>
      </c>
      <c r="B24" s="12">
        <v>2610.5100000000002</v>
      </c>
      <c r="C24" s="12">
        <v>2103.73</v>
      </c>
      <c r="D24" s="12">
        <v>1120.4000000000001</v>
      </c>
      <c r="E24" s="12">
        <v>590.4</v>
      </c>
      <c r="F24" s="12">
        <v>590.4</v>
      </c>
      <c r="G24" s="12">
        <v>590.4</v>
      </c>
      <c r="H24" s="12">
        <v>0</v>
      </c>
      <c r="I24" s="12">
        <v>0</v>
      </c>
      <c r="J24" s="12">
        <v>0</v>
      </c>
      <c r="K24" s="12">
        <v>0</v>
      </c>
      <c r="L24" s="12">
        <f t="shared" si="3"/>
        <v>7605.8399999999983</v>
      </c>
    </row>
    <row r="25" spans="1:12" x14ac:dyDescent="0.3">
      <c r="A25" s="11" t="s">
        <v>142</v>
      </c>
      <c r="B25" s="12">
        <v>1870.98</v>
      </c>
      <c r="C25" s="12">
        <v>1292.75</v>
      </c>
      <c r="D25" s="12">
        <v>1292.75</v>
      </c>
      <c r="E25" s="12">
        <v>392.75</v>
      </c>
      <c r="F25" s="12">
        <v>392.75</v>
      </c>
      <c r="G25" s="12">
        <v>392.75</v>
      </c>
      <c r="H25" s="12">
        <v>0</v>
      </c>
      <c r="I25" s="12">
        <v>0</v>
      </c>
      <c r="J25" s="12">
        <v>0</v>
      </c>
      <c r="K25" s="12">
        <v>0</v>
      </c>
      <c r="L25" s="12">
        <f t="shared" si="3"/>
        <v>5634.73</v>
      </c>
    </row>
    <row r="26" spans="1:12" x14ac:dyDescent="0.3">
      <c r="A26" s="11" t="s">
        <v>144</v>
      </c>
      <c r="B26" s="12">
        <v>1350</v>
      </c>
      <c r="C26" s="12">
        <v>1200.1099999999999</v>
      </c>
      <c r="D26" s="12">
        <v>520.78</v>
      </c>
      <c r="E26" s="12">
        <v>520.78</v>
      </c>
      <c r="F26" s="12">
        <v>520.78</v>
      </c>
      <c r="G26" s="12">
        <v>520.78</v>
      </c>
      <c r="H26" s="12">
        <v>0</v>
      </c>
      <c r="I26" s="12">
        <v>0</v>
      </c>
      <c r="J26" s="12">
        <v>0</v>
      </c>
      <c r="K26" s="12">
        <v>0</v>
      </c>
      <c r="L26" s="12">
        <f t="shared" si="3"/>
        <v>4633.2299999999987</v>
      </c>
    </row>
    <row r="27" spans="1:12" x14ac:dyDescent="0.3">
      <c r="A27" s="11" t="s">
        <v>160</v>
      </c>
      <c r="B27" s="12">
        <v>737.6</v>
      </c>
      <c r="C27" s="12">
        <v>737.6</v>
      </c>
      <c r="D27" s="12">
        <v>737.6</v>
      </c>
      <c r="E27" s="12">
        <v>737.6</v>
      </c>
      <c r="F27" s="12">
        <v>737.6</v>
      </c>
      <c r="G27" s="12">
        <v>737.6</v>
      </c>
      <c r="H27" s="12">
        <v>737.6</v>
      </c>
      <c r="I27" s="12">
        <v>737.6</v>
      </c>
      <c r="J27" s="12">
        <v>737.6</v>
      </c>
      <c r="K27" s="12">
        <v>0</v>
      </c>
      <c r="L27" s="12">
        <f t="shared" si="3"/>
        <v>6638.4000000000015</v>
      </c>
    </row>
    <row r="28" spans="1:12" x14ac:dyDescent="0.3">
      <c r="A28" s="11" t="s">
        <v>95</v>
      </c>
      <c r="B28" s="12">
        <v>619</v>
      </c>
      <c r="C28" s="12">
        <v>619</v>
      </c>
      <c r="D28" s="12">
        <v>619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f t="shared" si="3"/>
        <v>1857</v>
      </c>
    </row>
    <row r="29" spans="1:12" x14ac:dyDescent="0.3">
      <c r="A29" s="11" t="s">
        <v>158</v>
      </c>
      <c r="B29" s="12">
        <v>1042.08</v>
      </c>
      <c r="C29" s="12">
        <v>326.08999999999997</v>
      </c>
      <c r="D29" s="12">
        <v>257.39</v>
      </c>
      <c r="E29" s="12">
        <v>257.39</v>
      </c>
      <c r="F29" s="12">
        <v>257.39</v>
      </c>
      <c r="G29" s="12">
        <v>257.39</v>
      </c>
      <c r="H29" s="12">
        <v>0</v>
      </c>
      <c r="I29" s="12">
        <v>0</v>
      </c>
      <c r="J29" s="12">
        <v>0</v>
      </c>
      <c r="K29" s="12">
        <v>0</v>
      </c>
      <c r="L29" s="12">
        <f t="shared" si="3"/>
        <v>2397.7299999999996</v>
      </c>
    </row>
    <row r="30" spans="1:12" x14ac:dyDescent="0.3">
      <c r="A30" s="11" t="s">
        <v>400</v>
      </c>
      <c r="B30" s="12">
        <v>693.71</v>
      </c>
      <c r="C30" s="12">
        <v>669.79</v>
      </c>
      <c r="D30" s="12">
        <v>669.79</v>
      </c>
      <c r="E30" s="12">
        <v>122.51</v>
      </c>
      <c r="F30" s="12">
        <v>122.51</v>
      </c>
      <c r="G30" s="12">
        <v>122.51</v>
      </c>
      <c r="H30" s="12">
        <v>122.51</v>
      </c>
      <c r="I30" s="12">
        <v>101.42</v>
      </c>
      <c r="J30" s="12">
        <v>101.42</v>
      </c>
      <c r="K30" s="12">
        <v>101.42</v>
      </c>
      <c r="L30" s="12">
        <f t="shared" si="3"/>
        <v>2827.5900000000011</v>
      </c>
    </row>
    <row r="31" spans="1:12" x14ac:dyDescent="0.3">
      <c r="A31" s="11" t="s">
        <v>150</v>
      </c>
      <c r="B31" s="12">
        <v>1276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f t="shared" si="3"/>
        <v>1276</v>
      </c>
    </row>
    <row r="32" spans="1:12" x14ac:dyDescent="0.3">
      <c r="A32" s="11" t="s">
        <v>151</v>
      </c>
      <c r="B32" s="12">
        <v>258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f t="shared" si="3"/>
        <v>258</v>
      </c>
    </row>
    <row r="33" spans="1:12" x14ac:dyDescent="0.3">
      <c r="A33" s="11" t="s">
        <v>148</v>
      </c>
      <c r="B33" s="12">
        <v>191.5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f t="shared" si="3"/>
        <v>191.5</v>
      </c>
    </row>
    <row r="34" spans="1:12" x14ac:dyDescent="0.3">
      <c r="A34" s="11" t="s">
        <v>145</v>
      </c>
      <c r="B34" s="12">
        <v>2612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f t="shared" si="3"/>
        <v>2612</v>
      </c>
    </row>
    <row r="35" spans="1:12" x14ac:dyDescent="0.3">
      <c r="A35" s="11" t="s">
        <v>90</v>
      </c>
      <c r="B35" s="12">
        <v>419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f t="shared" si="3"/>
        <v>419</v>
      </c>
    </row>
    <row r="36" spans="1:12" x14ac:dyDescent="0.3">
      <c r="A36" s="39" t="s">
        <v>284</v>
      </c>
      <c r="B36" s="41">
        <f t="shared" ref="B36:L36" si="4">SUM(B23:B35)</f>
        <v>18145.38</v>
      </c>
      <c r="C36" s="41">
        <f t="shared" si="4"/>
        <v>9973.07</v>
      </c>
      <c r="D36" s="41">
        <f t="shared" si="4"/>
        <v>8036.71</v>
      </c>
      <c r="E36" s="41">
        <f t="shared" si="4"/>
        <v>4521.4300000000012</v>
      </c>
      <c r="F36" s="41">
        <f t="shared" si="4"/>
        <v>4021.4300000000003</v>
      </c>
      <c r="G36" s="41">
        <f t="shared" si="4"/>
        <v>4021.4300000000003</v>
      </c>
      <c r="H36" s="41">
        <f t="shared" si="4"/>
        <v>2260.11</v>
      </c>
      <c r="I36" s="41">
        <f t="shared" si="4"/>
        <v>2239.02</v>
      </c>
      <c r="J36" s="41">
        <f t="shared" si="4"/>
        <v>2239.02</v>
      </c>
      <c r="K36" s="41">
        <f t="shared" si="4"/>
        <v>1501.42</v>
      </c>
      <c r="L36" s="41">
        <f t="shared" si="4"/>
        <v>56959.02</v>
      </c>
    </row>
    <row r="38" spans="1:12" x14ac:dyDescent="0.3">
      <c r="A38" s="2" t="s">
        <v>402</v>
      </c>
    </row>
  </sheetData>
  <mergeCells count="3">
    <mergeCell ref="A2:L2"/>
    <mergeCell ref="A21:L21"/>
    <mergeCell ref="A1:L1"/>
  </mergeCells>
  <conditionalFormatting sqref="E6:E18">
    <cfRule type="cellIs" dxfId="16" priority="9" operator="lessThan">
      <formula>0</formula>
    </cfRule>
  </conditionalFormatting>
  <conditionalFormatting sqref="F6:F18">
    <cfRule type="cellIs" dxfId="15" priority="1" operator="lessThanOrEqual">
      <formula>0.3</formula>
    </cfRule>
    <cfRule type="cellIs" dxfId="14" priority="2" operator="between">
      <formula>0.31</formula>
      <formula>0.5</formula>
    </cfRule>
    <cfRule type="cellIs" dxfId="13" priority="3" operator="between">
      <formula>0.51</formula>
      <formula>0.8</formula>
    </cfRule>
    <cfRule type="cellIs" dxfId="12" priority="4" operator="greaterThan">
      <formula>0.8</formula>
    </cfRule>
  </conditionalFormatting>
  <conditionalFormatting sqref="L6:L18">
    <cfRule type="expression" dxfId="11" priority="5">
      <formula>ISNUMBER(SEARCH("Excelente",L6))</formula>
    </cfRule>
    <cfRule type="expression" dxfId="10" priority="6">
      <formula>ISNUMBER(SEARCH("Atenção",L6))</formula>
    </cfRule>
    <cfRule type="expression" dxfId="9" priority="7">
      <formula>ISNUMBER(SEARCH("Alto",L6))</formula>
    </cfRule>
    <cfRule type="expression" dxfId="8" priority="8">
      <formula>ISNUMBER(SEARCH("Crítico",L6))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"/>
  <sheetViews>
    <sheetView topLeftCell="B10" workbookViewId="0">
      <selection sqref="A1:G1"/>
    </sheetView>
  </sheetViews>
  <sheetFormatPr defaultRowHeight="14.4" x14ac:dyDescent="0.3"/>
  <cols>
    <col min="1" max="1" width="28" customWidth="1"/>
    <col min="2" max="4" width="20" customWidth="1"/>
    <col min="5" max="5" width="12" customWidth="1"/>
    <col min="6" max="6" width="28" customWidth="1"/>
    <col min="7" max="7" width="16" customWidth="1"/>
  </cols>
  <sheetData>
    <row r="1" spans="1:7" ht="23.4" x14ac:dyDescent="0.45">
      <c r="A1" s="104" t="s">
        <v>403</v>
      </c>
      <c r="B1" s="80"/>
      <c r="C1" s="80"/>
      <c r="D1" s="80"/>
      <c r="E1" s="80"/>
      <c r="F1" s="80"/>
      <c r="G1" s="80"/>
    </row>
    <row r="2" spans="1:7" x14ac:dyDescent="0.3">
      <c r="A2" s="2" t="s">
        <v>404</v>
      </c>
    </row>
    <row r="4" spans="1:7" x14ac:dyDescent="0.3">
      <c r="A4" s="10" t="s">
        <v>384</v>
      </c>
      <c r="B4" s="10" t="s">
        <v>385</v>
      </c>
      <c r="C4" s="10" t="s">
        <v>386</v>
      </c>
      <c r="D4" s="10" t="s">
        <v>387</v>
      </c>
      <c r="E4" s="10" t="s">
        <v>405</v>
      </c>
      <c r="F4" s="10" t="s">
        <v>406</v>
      </c>
      <c r="G4" s="10" t="s">
        <v>16</v>
      </c>
    </row>
    <row r="5" spans="1:7" x14ac:dyDescent="0.3">
      <c r="A5" s="30" t="str">
        <f>Cartoes!B6</f>
        <v>Itaú Mãe (+ maquininha)</v>
      </c>
      <c r="B5" s="31">
        <f>Cartoes!C6</f>
        <v>25000</v>
      </c>
      <c r="C5" s="31">
        <f>Cartoes!D6</f>
        <v>20608</v>
      </c>
      <c r="D5" s="31">
        <f>Cartoes!E6</f>
        <v>4392</v>
      </c>
      <c r="E5" s="63">
        <f>Cartoes!F6</f>
        <v>0.82432000000000005</v>
      </c>
      <c r="F5" s="30" t="str">
        <f t="shared" ref="F5:F14" si="0">REPT("█",ROUND(MIN(E5,1)*20,0))&amp;REPT("░",20-ROUND(MIN(E5,1)*20,0))</f>
        <v>████████████████░░░░</v>
      </c>
      <c r="G5" s="29" t="str">
        <f>Cartoes!L6</f>
        <v>🔴 Crítico</v>
      </c>
    </row>
    <row r="6" spans="1:7" x14ac:dyDescent="0.3">
      <c r="A6" s="30" t="str">
        <f>Cartoes!B7</f>
        <v>Sam's Club</v>
      </c>
      <c r="B6" s="31">
        <f>Cartoes!C7</f>
        <v>6530</v>
      </c>
      <c r="C6" s="31">
        <f>Cartoes!D7</f>
        <v>7605.84</v>
      </c>
      <c r="D6" s="31">
        <f>Cartoes!E7</f>
        <v>-1075.8400000000001</v>
      </c>
      <c r="E6" s="63">
        <f>Cartoes!F7</f>
        <v>1.1647534456355284</v>
      </c>
      <c r="F6" s="30" t="str">
        <f t="shared" si="0"/>
        <v>████████████████████</v>
      </c>
      <c r="G6" s="29" t="str">
        <f>Cartoes!L7</f>
        <v>🔴 Crítico</v>
      </c>
    </row>
    <row r="7" spans="1:7" x14ac:dyDescent="0.3">
      <c r="A7" s="30" t="str">
        <f>Cartoes!B8</f>
        <v>Carrefour Bruna</v>
      </c>
      <c r="B7" s="31">
        <f>Cartoes!C8</f>
        <v>5070</v>
      </c>
      <c r="C7" s="31">
        <f>Cartoes!D8</f>
        <v>5634.73</v>
      </c>
      <c r="D7" s="31">
        <f>Cartoes!E8</f>
        <v>-564.72999999999956</v>
      </c>
      <c r="E7" s="63">
        <f>Cartoes!F8</f>
        <v>1.111386587771203</v>
      </c>
      <c r="F7" s="30" t="str">
        <f t="shared" si="0"/>
        <v>████████████████████</v>
      </c>
      <c r="G7" s="29" t="str">
        <f>Cartoes!L8</f>
        <v>🔴 Crítico</v>
      </c>
    </row>
    <row r="8" spans="1:7" x14ac:dyDescent="0.3">
      <c r="A8" s="30" t="str">
        <f>Cartoes!B9</f>
        <v>Carrefour Renan</v>
      </c>
      <c r="B8" s="31">
        <f>Cartoes!C9</f>
        <v>3640</v>
      </c>
      <c r="C8" s="31">
        <f>Cartoes!D9</f>
        <v>4633.2299999999996</v>
      </c>
      <c r="D8" s="31">
        <f>Cartoes!E9</f>
        <v>-993.22999999999956</v>
      </c>
      <c r="E8" s="63">
        <f>Cartoes!F9</f>
        <v>1.2728653846153846</v>
      </c>
      <c r="F8" s="30" t="str">
        <f t="shared" si="0"/>
        <v>████████████████████</v>
      </c>
      <c r="G8" s="29" t="str">
        <f>Cartoes!L9</f>
        <v>🔴 Crítico</v>
      </c>
    </row>
    <row r="9" spans="1:7" x14ac:dyDescent="0.3">
      <c r="A9" s="30" t="str">
        <f>Cartoes!B10</f>
        <v>Nubank PJ</v>
      </c>
      <c r="B9" s="31">
        <f>Cartoes!C10</f>
        <v>5640.31</v>
      </c>
      <c r="C9" s="31">
        <f>Cartoes!D10</f>
        <v>6638.4000000000005</v>
      </c>
      <c r="D9" s="31">
        <f>Cartoes!E10</f>
        <v>-998.09000000000015</v>
      </c>
      <c r="E9" s="63">
        <f>Cartoes!F10</f>
        <v>1.1769565857195792</v>
      </c>
      <c r="F9" s="30" t="str">
        <f t="shared" si="0"/>
        <v>████████████████████</v>
      </c>
      <c r="G9" s="29" t="str">
        <f>Cartoes!L10</f>
        <v>🔴 Crítico</v>
      </c>
    </row>
    <row r="10" spans="1:7" x14ac:dyDescent="0.3">
      <c r="A10" s="30" t="str">
        <f>Cartoes!B11</f>
        <v>Inter PJ</v>
      </c>
      <c r="B10" s="31">
        <f>Cartoes!C11</f>
        <v>5000</v>
      </c>
      <c r="C10" s="31">
        <f>Cartoes!D11</f>
        <v>1857</v>
      </c>
      <c r="D10" s="31">
        <f>Cartoes!E11</f>
        <v>3143</v>
      </c>
      <c r="E10" s="63">
        <f>Cartoes!F11</f>
        <v>0.37140000000000001</v>
      </c>
      <c r="F10" s="30" t="str">
        <f t="shared" si="0"/>
        <v>███████░░░░░░░░░░░░░</v>
      </c>
      <c r="G10" s="29" t="str">
        <f>Cartoes!L11</f>
        <v>🟡 Atenção</v>
      </c>
    </row>
    <row r="11" spans="1:7" x14ac:dyDescent="0.3">
      <c r="A11" s="30" t="str">
        <f>Cartoes!B12</f>
        <v>Nubank PF (cartão)</v>
      </c>
      <c r="B11" s="31">
        <f>Cartoes!C12</f>
        <v>1950</v>
      </c>
      <c r="C11" s="31">
        <f>Cartoes!D12</f>
        <v>2397.73</v>
      </c>
      <c r="D11" s="31">
        <f>Cartoes!E12</f>
        <v>-447.73</v>
      </c>
      <c r="E11" s="63">
        <f>Cartoes!F12</f>
        <v>1.2296051282051281</v>
      </c>
      <c r="F11" s="30" t="str">
        <f t="shared" si="0"/>
        <v>████████████████████</v>
      </c>
      <c r="G11" s="29" t="str">
        <f>Cartoes!L12</f>
        <v>🔴 Crítico</v>
      </c>
    </row>
    <row r="12" spans="1:7" x14ac:dyDescent="0.3">
      <c r="A12" s="30" t="str">
        <f>Cartoes!B13</f>
        <v>Bradesco PF</v>
      </c>
      <c r="B12" s="31">
        <f>Cartoes!C13</f>
        <v>3400</v>
      </c>
      <c r="C12" s="31">
        <f>Cartoes!D13</f>
        <v>1727.55</v>
      </c>
      <c r="D12" s="31">
        <f>Cartoes!E13</f>
        <v>1672.45</v>
      </c>
      <c r="E12" s="63">
        <f>Cartoes!F13</f>
        <v>0.50810294117647059</v>
      </c>
      <c r="F12" s="30" t="str">
        <f t="shared" si="0"/>
        <v>██████████░░░░░░░░░░</v>
      </c>
      <c r="G12" s="29" t="str">
        <f>Cartoes!L13</f>
        <v>🟠 Alto</v>
      </c>
    </row>
    <row r="13" spans="1:7" x14ac:dyDescent="0.3">
      <c r="A13" s="30" t="str">
        <f>Cartoes!B14</f>
        <v>Itaú Gold Bruna</v>
      </c>
      <c r="B13" s="31">
        <f>Cartoes!C14</f>
        <v>8000</v>
      </c>
      <c r="C13" s="31">
        <f>Cartoes!D14</f>
        <v>1141</v>
      </c>
      <c r="D13" s="31">
        <f>Cartoes!E14</f>
        <v>6859</v>
      </c>
      <c r="E13" s="63">
        <f>Cartoes!F14</f>
        <v>0.142625</v>
      </c>
      <c r="F13" s="30" t="str">
        <f t="shared" si="0"/>
        <v>███░░░░░░░░░░░░░░░░░</v>
      </c>
      <c r="G13" s="29" t="str">
        <f>Cartoes!L14</f>
        <v>🟢 Excelente</v>
      </c>
    </row>
    <row r="14" spans="1:7" x14ac:dyDescent="0.3">
      <c r="A14" s="30" t="str">
        <f>Cartoes!B15</f>
        <v>Itaú Internacional Bruna</v>
      </c>
      <c r="B14" s="31">
        <f>Cartoes!C15</f>
        <v>3000</v>
      </c>
      <c r="C14" s="31">
        <f>Cartoes!D15</f>
        <v>258</v>
      </c>
      <c r="D14" s="31">
        <f>Cartoes!E15</f>
        <v>2742</v>
      </c>
      <c r="E14" s="63">
        <f>Cartoes!F15</f>
        <v>8.5999999999999993E-2</v>
      </c>
      <c r="F14" s="30" t="str">
        <f t="shared" si="0"/>
        <v>██░░░░░░░░░░░░░░░░░░</v>
      </c>
      <c r="G14" s="29" t="str">
        <f>Cartoes!L15</f>
        <v>🟢 Excelente</v>
      </c>
    </row>
    <row r="35" spans="1:2" x14ac:dyDescent="0.3">
      <c r="A35" t="s">
        <v>407</v>
      </c>
      <c r="B35" s="20">
        <f>Cartoes!V4</f>
        <v>78230.31</v>
      </c>
    </row>
    <row r="36" spans="1:2" x14ac:dyDescent="0.3">
      <c r="A36" t="s">
        <v>408</v>
      </c>
      <c r="B36" s="20">
        <f>Cartoes!V5</f>
        <v>54591.470000000016</v>
      </c>
    </row>
    <row r="37" spans="1:2" ht="23.4" x14ac:dyDescent="0.45">
      <c r="A37" t="s">
        <v>409</v>
      </c>
      <c r="B37" s="65">
        <f>Cartoes!V6</f>
        <v>23638.84</v>
      </c>
    </row>
  </sheetData>
  <mergeCells count="1">
    <mergeCell ref="A1:G1"/>
  </mergeCells>
  <conditionalFormatting sqref="E5:E14">
    <cfRule type="cellIs" dxfId="7" priority="1" operator="lessThanOrEqual">
      <formula>0.3</formula>
    </cfRule>
    <cfRule type="cellIs" dxfId="6" priority="2" operator="between">
      <formula>0.31</formula>
      <formula>0.5</formula>
    </cfRule>
    <cfRule type="cellIs" dxfId="5" priority="3" operator="between">
      <formula>0.51</formula>
      <formula>0.8</formula>
    </cfRule>
    <cfRule type="cellIs" dxfId="4" priority="4" operator="greaterThan">
      <formula>0.8</formula>
    </cfRule>
  </conditionalFormatting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workbookViewId="0">
      <selection activeCell="B12" sqref="B12"/>
    </sheetView>
  </sheetViews>
  <sheetFormatPr defaultRowHeight="14.4" x14ac:dyDescent="0.3"/>
  <cols>
    <col min="1" max="1" width="19.88671875" customWidth="1"/>
    <col min="2" max="2" width="28" customWidth="1"/>
    <col min="3" max="3" width="22" customWidth="1"/>
    <col min="4" max="4" width="20" customWidth="1"/>
    <col min="5" max="5" width="14" customWidth="1"/>
    <col min="6" max="6" width="48" customWidth="1"/>
    <col min="8" max="8" width="17.109375" customWidth="1"/>
    <col min="9" max="9" width="20" customWidth="1"/>
  </cols>
  <sheetData>
    <row r="1" spans="1:9" ht="21" x14ac:dyDescent="0.4">
      <c r="A1" s="81" t="s">
        <v>410</v>
      </c>
      <c r="B1" s="80"/>
      <c r="C1" s="80"/>
      <c r="D1" s="80"/>
      <c r="E1" s="80"/>
      <c r="F1" s="80"/>
    </row>
    <row r="2" spans="1:9" x14ac:dyDescent="0.3">
      <c r="A2" s="2" t="s">
        <v>411</v>
      </c>
      <c r="H2" t="s">
        <v>412</v>
      </c>
      <c r="I2" t="str">
        <f>B12</f>
        <v>Cartões</v>
      </c>
    </row>
    <row r="3" spans="1:9" x14ac:dyDescent="0.3">
      <c r="H3" t="s">
        <v>413</v>
      </c>
      <c r="I3" s="20">
        <v>100</v>
      </c>
    </row>
    <row r="4" spans="1:9" x14ac:dyDescent="0.3">
      <c r="A4" s="10" t="s">
        <v>366</v>
      </c>
      <c r="B4" s="10" t="s">
        <v>189</v>
      </c>
      <c r="C4" s="10" t="s">
        <v>206</v>
      </c>
      <c r="D4" s="10" t="s">
        <v>14</v>
      </c>
      <c r="E4" s="10" t="s">
        <v>16</v>
      </c>
      <c r="F4" s="10" t="s">
        <v>414</v>
      </c>
    </row>
    <row r="5" spans="1:9" x14ac:dyDescent="0.3">
      <c r="A5" s="29">
        <v>1</v>
      </c>
      <c r="B5" s="30" t="s">
        <v>349</v>
      </c>
      <c r="C5" s="30" t="s">
        <v>415</v>
      </c>
      <c r="D5" s="31">
        <f>Emprestimos!I7</f>
        <v>567.74</v>
      </c>
      <c r="E5" s="51" t="s">
        <v>416</v>
      </c>
      <c r="F5" s="30" t="s">
        <v>417</v>
      </c>
    </row>
    <row r="6" spans="1:9" x14ac:dyDescent="0.3">
      <c r="A6" s="29">
        <v>2</v>
      </c>
      <c r="B6" s="30" t="s">
        <v>137</v>
      </c>
      <c r="C6" s="30" t="s">
        <v>418</v>
      </c>
      <c r="D6" s="30" t="s">
        <v>203</v>
      </c>
      <c r="E6" s="51" t="s">
        <v>353</v>
      </c>
      <c r="F6" s="30" t="s">
        <v>419</v>
      </c>
    </row>
    <row r="7" spans="1:9" x14ac:dyDescent="0.3">
      <c r="A7" s="29" t="s">
        <v>420</v>
      </c>
      <c r="B7" s="30" t="s">
        <v>356</v>
      </c>
      <c r="C7" s="30" t="s">
        <v>357</v>
      </c>
      <c r="D7" s="31">
        <v>527.03</v>
      </c>
      <c r="E7" s="52" t="s">
        <v>421</v>
      </c>
      <c r="F7" s="30" t="s">
        <v>422</v>
      </c>
    </row>
    <row r="8" spans="1:9" x14ac:dyDescent="0.3">
      <c r="A8" s="29">
        <v>3</v>
      </c>
      <c r="B8" s="30" t="s">
        <v>352</v>
      </c>
      <c r="C8" s="30" t="s">
        <v>423</v>
      </c>
      <c r="D8" s="31">
        <v>4155.54</v>
      </c>
      <c r="E8" s="51" t="s">
        <v>353</v>
      </c>
      <c r="F8" s="30" t="s">
        <v>424</v>
      </c>
    </row>
    <row r="9" spans="1:9" x14ac:dyDescent="0.3">
      <c r="A9" s="29">
        <v>4</v>
      </c>
      <c r="B9" s="30" t="s">
        <v>354</v>
      </c>
      <c r="C9" s="30" t="s">
        <v>425</v>
      </c>
      <c r="D9" s="31">
        <v>6540.19</v>
      </c>
      <c r="E9" s="50" t="s">
        <v>426</v>
      </c>
      <c r="F9" s="30" t="s">
        <v>427</v>
      </c>
    </row>
    <row r="10" spans="1:9" x14ac:dyDescent="0.3">
      <c r="A10" s="29">
        <v>5</v>
      </c>
      <c r="B10" s="30" t="s">
        <v>428</v>
      </c>
      <c r="C10" s="30" t="s">
        <v>429</v>
      </c>
      <c r="D10" s="30" t="s">
        <v>203</v>
      </c>
      <c r="E10" s="52" t="s">
        <v>337</v>
      </c>
      <c r="F10" s="30" t="s">
        <v>430</v>
      </c>
    </row>
    <row r="12" spans="1:9" ht="23.4" x14ac:dyDescent="0.45">
      <c r="A12" s="3" t="s">
        <v>431</v>
      </c>
      <c r="B12" s="66" t="str">
        <f>IFERROR(INDEX(B5:B10,MATCH(1,INDEX((E5:E10="Urgente")+(E5:E10="Em aberto")+(E5:E10="Pendente")+(E5:E10="Em acordo"),0),0)),"—")</f>
        <v>Cartões</v>
      </c>
    </row>
    <row r="13" spans="1:9" x14ac:dyDescent="0.3">
      <c r="A13" s="3" t="s">
        <v>432</v>
      </c>
      <c r="B13" s="11" t="str">
        <f>IFERROR(INDEX(C5:C10,MATCH(1,INDEX((E5:E10="Urgente")+(E5:E10="Em aberto")+(E5:E10="Pendente")+(E5:E10="Em acordo"),0),0)),"—")</f>
        <v>Aliviar faturas / parcelas</v>
      </c>
    </row>
    <row r="14" spans="1:9" x14ac:dyDescent="0.3">
      <c r="A14" s="3" t="s">
        <v>14</v>
      </c>
      <c r="B14" s="12" t="str">
        <f>IFERROR(INDEX(D5:D10,MATCH(1,INDEX((E5:E10="Urgente")+(E5:E10="Em aberto")+(E5:E10="Pendente")+(E5:E10="Em acordo"),0),0)),"—")</f>
        <v>—</v>
      </c>
    </row>
    <row r="16" spans="1:9" ht="17.399999999999999" x14ac:dyDescent="0.35">
      <c r="A16" s="79" t="s">
        <v>433</v>
      </c>
      <c r="B16" s="80"/>
      <c r="C16" s="80"/>
      <c r="D16" s="80"/>
      <c r="E16" s="80"/>
    </row>
    <row r="17" spans="1:6" x14ac:dyDescent="0.3">
      <c r="A17" s="10" t="s">
        <v>366</v>
      </c>
      <c r="B17" s="10" t="s">
        <v>434</v>
      </c>
      <c r="C17" s="10" t="s">
        <v>435</v>
      </c>
      <c r="D17" s="10" t="s">
        <v>436</v>
      </c>
      <c r="E17" s="10" t="s">
        <v>414</v>
      </c>
    </row>
    <row r="18" spans="1:6" x14ac:dyDescent="0.3">
      <c r="A18" s="52" t="s">
        <v>420</v>
      </c>
      <c r="B18" s="67" t="s">
        <v>437</v>
      </c>
      <c r="C18" s="68">
        <v>766.03</v>
      </c>
      <c r="D18" s="68">
        <v>11667.07</v>
      </c>
      <c r="E18" s="67" t="s">
        <v>438</v>
      </c>
    </row>
    <row r="19" spans="1:6" x14ac:dyDescent="0.3">
      <c r="A19" s="52" t="s">
        <v>420</v>
      </c>
      <c r="B19" s="67" t="s">
        <v>96</v>
      </c>
      <c r="C19" s="68">
        <v>1353.13</v>
      </c>
      <c r="D19" s="68">
        <v>10313.94</v>
      </c>
      <c r="E19" s="67" t="s">
        <v>438</v>
      </c>
    </row>
    <row r="20" spans="1:6" x14ac:dyDescent="0.3">
      <c r="A20" s="52" t="s">
        <v>420</v>
      </c>
      <c r="B20" s="67" t="s">
        <v>94</v>
      </c>
      <c r="C20" s="68">
        <v>4300</v>
      </c>
      <c r="D20" s="68">
        <v>6013.94</v>
      </c>
      <c r="E20" s="67" t="s">
        <v>438</v>
      </c>
    </row>
    <row r="21" spans="1:6" x14ac:dyDescent="0.3">
      <c r="A21" s="52" t="s">
        <v>420</v>
      </c>
      <c r="B21" s="67" t="s">
        <v>100</v>
      </c>
      <c r="C21" s="68">
        <v>527.03</v>
      </c>
      <c r="D21" s="68">
        <v>5486.91</v>
      </c>
      <c r="E21" s="67" t="s">
        <v>439</v>
      </c>
    </row>
    <row r="22" spans="1:6" x14ac:dyDescent="0.3">
      <c r="A22" s="69">
        <v>1</v>
      </c>
      <c r="B22" s="70" t="s">
        <v>440</v>
      </c>
      <c r="C22" s="71">
        <v>696.49</v>
      </c>
      <c r="D22" s="71">
        <v>4309.55</v>
      </c>
      <c r="E22" s="70" t="s">
        <v>441</v>
      </c>
    </row>
    <row r="23" spans="1:6" x14ac:dyDescent="0.3">
      <c r="A23" s="69">
        <v>2</v>
      </c>
      <c r="B23" s="70" t="s">
        <v>442</v>
      </c>
      <c r="C23" s="71">
        <v>4309.55</v>
      </c>
      <c r="D23" s="71">
        <v>0</v>
      </c>
      <c r="E23" s="70" t="s">
        <v>443</v>
      </c>
    </row>
    <row r="25" spans="1:6" x14ac:dyDescent="0.3">
      <c r="A25" s="82" t="s">
        <v>444</v>
      </c>
      <c r="B25" s="80"/>
      <c r="C25" s="80"/>
      <c r="D25" s="80"/>
      <c r="E25" s="80"/>
      <c r="F25" s="80"/>
    </row>
  </sheetData>
  <mergeCells count="3">
    <mergeCell ref="A16:E16"/>
    <mergeCell ref="A1:F1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"/>
  <sheetViews>
    <sheetView workbookViewId="0">
      <selection sqref="A1:G1"/>
    </sheetView>
  </sheetViews>
  <sheetFormatPr defaultRowHeight="14.4" x14ac:dyDescent="0.3"/>
  <cols>
    <col min="1" max="1" width="5" customWidth="1"/>
    <col min="2" max="2" width="22" customWidth="1"/>
    <col min="3" max="3" width="20" customWidth="1"/>
    <col min="4" max="4" width="12" customWidth="1"/>
    <col min="5" max="7" width="20" customWidth="1"/>
    <col min="8" max="8" width="10" customWidth="1"/>
    <col min="9" max="9" width="28" customWidth="1"/>
  </cols>
  <sheetData>
    <row r="1" spans="1:9" ht="23.4" x14ac:dyDescent="0.45">
      <c r="A1" s="104" t="s">
        <v>445</v>
      </c>
      <c r="B1" s="80"/>
      <c r="C1" s="80"/>
      <c r="D1" s="80"/>
      <c r="E1" s="80"/>
      <c r="F1" s="80"/>
      <c r="G1" s="80"/>
    </row>
    <row r="2" spans="1:9" x14ac:dyDescent="0.3">
      <c r="A2" s="2" t="s">
        <v>446</v>
      </c>
    </row>
    <row r="4" spans="1:9" x14ac:dyDescent="0.3">
      <c r="A4" s="10" t="s">
        <v>366</v>
      </c>
      <c r="B4" s="10" t="s">
        <v>189</v>
      </c>
      <c r="C4" s="10" t="s">
        <v>331</v>
      </c>
      <c r="D4" s="10" t="s">
        <v>193</v>
      </c>
      <c r="E4" s="10" t="s">
        <v>447</v>
      </c>
      <c r="F4" s="10" t="s">
        <v>448</v>
      </c>
      <c r="G4" s="10" t="s">
        <v>245</v>
      </c>
      <c r="H4" s="10" t="s">
        <v>347</v>
      </c>
      <c r="I4" s="10" t="s">
        <v>414</v>
      </c>
    </row>
    <row r="5" spans="1:9" x14ac:dyDescent="0.3">
      <c r="A5" s="29">
        <v>1</v>
      </c>
      <c r="B5" s="30" t="s">
        <v>449</v>
      </c>
      <c r="C5" s="31">
        <f>Emprestimos!C14</f>
        <v>9264.93</v>
      </c>
      <c r="D5" s="72">
        <v>3.5000000000000003E-2</v>
      </c>
      <c r="E5" s="31">
        <f>IF(ISNUMBER(C5),C5*D5,0)</f>
        <v>324.27255000000002</v>
      </c>
      <c r="F5" s="31">
        <f>Emprestimos!C14</f>
        <v>9264.93</v>
      </c>
      <c r="G5" s="31">
        <f>IF(F5=0,0,MAX(0,C5-F5))</f>
        <v>0</v>
      </c>
      <c r="H5" s="69">
        <v>1</v>
      </c>
      <c r="I5" s="30" t="s">
        <v>450</v>
      </c>
    </row>
    <row r="6" spans="1:9" x14ac:dyDescent="0.3">
      <c r="A6" s="29">
        <v>2</v>
      </c>
      <c r="B6" s="30" t="s">
        <v>352</v>
      </c>
      <c r="C6" s="31">
        <f>Emprestimos!B15</f>
        <v>20988.81</v>
      </c>
      <c r="D6" s="72">
        <v>0.08</v>
      </c>
      <c r="E6" s="31">
        <f>IF(ISNUMBER(C6),C6*D6,0)</f>
        <v>1679.1048000000001</v>
      </c>
      <c r="F6" s="31">
        <f>Emprestimos!D15</f>
        <v>4155.54</v>
      </c>
      <c r="G6" s="31">
        <f>IF(F6=0,0,MAX(0,C6-F6))</f>
        <v>16833.27</v>
      </c>
      <c r="H6" s="51">
        <v>2</v>
      </c>
      <c r="I6" s="30" t="s">
        <v>451</v>
      </c>
    </row>
    <row r="7" spans="1:9" x14ac:dyDescent="0.3">
      <c r="A7" s="29">
        <v>3</v>
      </c>
      <c r="B7" s="30" t="s">
        <v>354</v>
      </c>
      <c r="C7" s="31">
        <f>Emprestimos!B16</f>
        <v>6540.19</v>
      </c>
      <c r="D7" s="72">
        <v>1.47E-2</v>
      </c>
      <c r="E7" s="31">
        <f>IF(ISNUMBER(C7),C7*D7,0)</f>
        <v>96.140792999999988</v>
      </c>
      <c r="F7" s="31">
        <f>Emprestimos!D16</f>
        <v>6540.19</v>
      </c>
      <c r="G7" s="31">
        <f>IF(F7=0,0,MAX(0,C7-F7))</f>
        <v>0</v>
      </c>
      <c r="H7" s="29">
        <v>3</v>
      </c>
      <c r="I7" s="30" t="s">
        <v>452</v>
      </c>
    </row>
    <row r="8" spans="1:9" x14ac:dyDescent="0.3">
      <c r="A8" s="29">
        <v>4</v>
      </c>
      <c r="B8" s="30" t="s">
        <v>453</v>
      </c>
      <c r="C8" s="31">
        <f>Emprestimos!B6</f>
        <v>26974</v>
      </c>
      <c r="D8" s="72">
        <v>0.04</v>
      </c>
      <c r="E8" s="31">
        <f>IF(ISNUMBER(C8),C8*D8,0)</f>
        <v>1078.96</v>
      </c>
      <c r="F8" s="31">
        <v>0</v>
      </c>
      <c r="G8" s="31">
        <f>IF(F8=0,0,MAX(0,C8-F8))</f>
        <v>0</v>
      </c>
      <c r="H8" s="29">
        <v>4</v>
      </c>
      <c r="I8" s="30" t="s">
        <v>454</v>
      </c>
    </row>
    <row r="9" spans="1:9" x14ac:dyDescent="0.3">
      <c r="A9" s="29">
        <v>5</v>
      </c>
      <c r="B9" s="30" t="s">
        <v>455</v>
      </c>
      <c r="C9" s="31">
        <f>Emprestimos!B7+Emprestimos!B8+Emprestimos!B9</f>
        <v>22275.19</v>
      </c>
      <c r="D9" s="72">
        <v>0.02</v>
      </c>
      <c r="E9" s="31">
        <f>IF(ISNUMBER(C9),C9*D9,0)</f>
        <v>445.50379999999996</v>
      </c>
      <c r="F9" s="31">
        <v>0</v>
      </c>
      <c r="G9" s="31">
        <f>IF(F9=0,0,MAX(0,C9-F9))</f>
        <v>0</v>
      </c>
      <c r="H9" s="29">
        <v>5</v>
      </c>
      <c r="I9" s="30" t="s">
        <v>456</v>
      </c>
    </row>
  </sheetData>
  <mergeCells count="1">
    <mergeCell ref="A1:G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"/>
  <sheetViews>
    <sheetView workbookViewId="0">
      <selection activeCell="F34" sqref="F34"/>
    </sheetView>
  </sheetViews>
  <sheetFormatPr defaultRowHeight="14.4" x14ac:dyDescent="0.3"/>
  <cols>
    <col min="1" max="1" width="36" customWidth="1"/>
    <col min="2" max="2" width="26" bestFit="1" customWidth="1"/>
    <col min="3" max="4" width="20" customWidth="1"/>
    <col min="5" max="5" width="10" customWidth="1"/>
    <col min="6" max="6" width="20" customWidth="1"/>
  </cols>
  <sheetData>
    <row r="1" spans="1:6" ht="23.4" x14ac:dyDescent="0.45">
      <c r="A1" s="104" t="s">
        <v>457</v>
      </c>
      <c r="B1" s="80"/>
      <c r="C1" s="80"/>
      <c r="D1" s="80"/>
      <c r="E1" s="80"/>
      <c r="F1" s="80"/>
    </row>
    <row r="2" spans="1:6" x14ac:dyDescent="0.3">
      <c r="A2" s="2" t="s">
        <v>458</v>
      </c>
    </row>
    <row r="4" spans="1:6" ht="28.8" x14ac:dyDescent="0.55000000000000004">
      <c r="A4" s="6" t="s">
        <v>459</v>
      </c>
      <c r="B4" s="7">
        <v>10000</v>
      </c>
      <c r="C4" s="2" t="s">
        <v>460</v>
      </c>
    </row>
    <row r="6" spans="1:6" x14ac:dyDescent="0.3">
      <c r="A6" s="88" t="s">
        <v>461</v>
      </c>
      <c r="B6" s="125"/>
      <c r="C6" s="125"/>
      <c r="D6" s="125"/>
    </row>
    <row r="7" spans="1:6" ht="21" x14ac:dyDescent="0.4">
      <c r="A7" s="9" t="s">
        <v>462</v>
      </c>
      <c r="B7" s="126" t="str">
        <f>IF($B$4&gt;=9228.63,"Caixa PJ (atraso completo)",IF($B$4&gt;=6540.19,"Caixa PF (acordo 10x total) — ou Caixa PJ parcial",IF($B$4&gt;=4155.54,"Mercado Pago (melhor ROI) — se atraso PJ estiver sob controle",IF($B$4&gt;=696.49,"Caixa PF — pagar boleto entrada R$ 696,49 (15/07)","Caixa PJ — amortizar atraso (parcial)"))))</f>
        <v>Caixa PJ (atraso completo)</v>
      </c>
      <c r="C7" s="125"/>
      <c r="D7" s="125"/>
    </row>
    <row r="8" spans="1:6" ht="28.8" x14ac:dyDescent="0.55000000000000004">
      <c r="A8" s="6" t="s">
        <v>245</v>
      </c>
      <c r="B8" s="99">
        <f>IF(ISNUMBER(SEARCH("Mercado Pago",B7)),16833.27,IF(ISNUMBER(SEARCH("Caixa PF",B7)),2155.02,0))</f>
        <v>0</v>
      </c>
      <c r="C8" s="125"/>
      <c r="D8" s="125"/>
    </row>
    <row r="9" spans="1:6" ht="28.8" x14ac:dyDescent="0.55000000000000004">
      <c r="A9" s="5" t="s">
        <v>436</v>
      </c>
      <c r="B9" s="83">
        <f>IF(ISNUMBER(SEARCH("atraso completo",B7)),$B$4-9228.63,IF(ISNUMBER(SEARCH("Mercado Pago",B7)),$B$4-4155.54,IF(ISNUMBER(SEARCH("boleto entrada",B7)),$B$4-696.49,IF(ISNUMBER(SEARCH("Caixa PF",B7)),$B$4-6540.19,0))))</f>
        <v>771.3700000000008</v>
      </c>
      <c r="C9" s="125"/>
      <c r="D9" s="125"/>
    </row>
    <row r="11" spans="1:6" ht="17.399999999999999" x14ac:dyDescent="0.35">
      <c r="A11" s="1" t="s">
        <v>463</v>
      </c>
    </row>
    <row r="12" spans="1:6" x14ac:dyDescent="0.3">
      <c r="A12" s="10" t="s">
        <v>464</v>
      </c>
      <c r="B12" s="10" t="s">
        <v>465</v>
      </c>
      <c r="C12" s="10" t="s">
        <v>466</v>
      </c>
      <c r="D12" s="10" t="s">
        <v>245</v>
      </c>
      <c r="E12" s="10" t="s">
        <v>467</v>
      </c>
      <c r="F12" s="10" t="s">
        <v>436</v>
      </c>
    </row>
    <row r="13" spans="1:6" x14ac:dyDescent="0.3">
      <c r="A13" s="30" t="s">
        <v>197</v>
      </c>
      <c r="B13" s="31">
        <v>9228.6299999999992</v>
      </c>
      <c r="C13" s="31">
        <v>9228.6299999999992</v>
      </c>
      <c r="D13" s="31">
        <v>0</v>
      </c>
      <c r="E13" s="29" t="str">
        <f>IF($B$4&gt;=B13,"SIM","NÃO")</f>
        <v>SIM</v>
      </c>
      <c r="F13" s="31">
        <f>IF($B$4&gt;=B13,$B$4-B13,0)</f>
        <v>771.3700000000008</v>
      </c>
    </row>
    <row r="14" spans="1:6" x14ac:dyDescent="0.3">
      <c r="A14" s="30" t="s">
        <v>352</v>
      </c>
      <c r="B14" s="31">
        <v>4155.54</v>
      </c>
      <c r="C14" s="31">
        <v>20988.81</v>
      </c>
      <c r="D14" s="31">
        <v>16833.27</v>
      </c>
      <c r="E14" s="29" t="str">
        <f>IF($B$4&gt;=B14,"SIM","NÃO")</f>
        <v>SIM</v>
      </c>
      <c r="F14" s="31">
        <f>IF($B$4&gt;=B14,$B$4-B14,0)</f>
        <v>5844.46</v>
      </c>
    </row>
    <row r="15" spans="1:6" x14ac:dyDescent="0.3">
      <c r="A15" s="30" t="s">
        <v>354</v>
      </c>
      <c r="B15" s="31">
        <v>6540.19</v>
      </c>
      <c r="C15" s="31">
        <v>8695.2099999999991</v>
      </c>
      <c r="D15" s="31">
        <v>2155.02</v>
      </c>
      <c r="E15" s="29" t="str">
        <f>IF($B$4&gt;=B15,"SIM","NÃO")</f>
        <v>SIM</v>
      </c>
      <c r="F15" s="31">
        <f>IF($B$4&gt;=B15,$B$4-B15,0)</f>
        <v>3459.8100000000004</v>
      </c>
    </row>
    <row r="16" spans="1:6" x14ac:dyDescent="0.3">
      <c r="A16" s="30" t="s">
        <v>468</v>
      </c>
      <c r="B16" s="31">
        <v>4155.54</v>
      </c>
      <c r="C16" s="31">
        <v>20988.81</v>
      </c>
      <c r="D16" s="31">
        <v>16833.27</v>
      </c>
      <c r="E16" s="29" t="str">
        <f>IF($B$4&gt;=B16,"SIM","NÃO")</f>
        <v>SIM</v>
      </c>
      <c r="F16" s="31">
        <f>IF($B$4&gt;=B16,$B$4-B16,0)</f>
        <v>5844.46</v>
      </c>
    </row>
    <row r="18" spans="1:6" x14ac:dyDescent="0.3">
      <c r="A18" s="3" t="s">
        <v>469</v>
      </c>
    </row>
    <row r="19" spans="1:6" x14ac:dyDescent="0.3">
      <c r="A19" s="82" t="s">
        <v>470</v>
      </c>
      <c r="B19" s="80"/>
      <c r="C19" s="80"/>
      <c r="D19" s="80"/>
      <c r="E19" s="80"/>
      <c r="F19" s="80"/>
    </row>
  </sheetData>
  <mergeCells count="6">
    <mergeCell ref="A6:D6"/>
    <mergeCell ref="A19:F19"/>
    <mergeCell ref="B8:D8"/>
    <mergeCell ref="A1:F1"/>
    <mergeCell ref="B9:D9"/>
    <mergeCell ref="B7:D7"/>
  </mergeCells>
  <conditionalFormatting sqref="E13:E16">
    <cfRule type="expression" dxfId="3" priority="1">
      <formula>E13="SIM"</formula>
    </cfRule>
    <cfRule type="expression" dxfId="2" priority="2">
      <formula>E13="NÃO"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7"/>
  <sheetViews>
    <sheetView workbookViewId="0">
      <selection sqref="A1:D1"/>
    </sheetView>
  </sheetViews>
  <sheetFormatPr defaultRowHeight="14.4" x14ac:dyDescent="0.3"/>
  <cols>
    <col min="1" max="1" width="36" customWidth="1"/>
    <col min="2" max="2" width="22.21875" bestFit="1" customWidth="1"/>
    <col min="3" max="3" width="14" customWidth="1"/>
    <col min="4" max="4" width="28" customWidth="1"/>
    <col min="5" max="5" width="4" customWidth="1"/>
    <col min="6" max="6" width="28" customWidth="1"/>
    <col min="7" max="7" width="20" customWidth="1"/>
  </cols>
  <sheetData>
    <row r="1" spans="1:7" ht="21" x14ac:dyDescent="0.4">
      <c r="A1" s="81" t="s">
        <v>471</v>
      </c>
      <c r="B1" s="80"/>
      <c r="C1" s="80"/>
      <c r="D1" s="80"/>
    </row>
    <row r="2" spans="1:7" x14ac:dyDescent="0.3">
      <c r="A2" s="2" t="s">
        <v>472</v>
      </c>
      <c r="F2" t="s">
        <v>473</v>
      </c>
      <c r="G2" s="20">
        <f>B10</f>
        <v>807191.92999999993</v>
      </c>
    </row>
    <row r="3" spans="1:7" x14ac:dyDescent="0.3">
      <c r="F3" t="s">
        <v>474</v>
      </c>
      <c r="G3" s="20">
        <f>B21</f>
        <v>166589.07</v>
      </c>
    </row>
    <row r="4" spans="1:7" ht="17.399999999999999" x14ac:dyDescent="0.35">
      <c r="A4" s="1" t="s">
        <v>475</v>
      </c>
      <c r="F4" t="s">
        <v>476</v>
      </c>
      <c r="G4" s="20">
        <f>B27</f>
        <v>640602.85999999987</v>
      </c>
    </row>
    <row r="5" spans="1:7" x14ac:dyDescent="0.3">
      <c r="A5" s="10" t="s">
        <v>477</v>
      </c>
      <c r="B5" s="10" t="s">
        <v>14</v>
      </c>
      <c r="C5" s="10" t="s">
        <v>478</v>
      </c>
      <c r="D5" s="10" t="s">
        <v>229</v>
      </c>
    </row>
    <row r="6" spans="1:7" x14ac:dyDescent="0.3">
      <c r="A6" s="30" t="s">
        <v>479</v>
      </c>
      <c r="B6" s="62">
        <v>647391.34</v>
      </c>
      <c r="C6" s="30" t="s">
        <v>480</v>
      </c>
      <c r="D6" s="30" t="s">
        <v>481</v>
      </c>
      <c r="F6" t="s">
        <v>482</v>
      </c>
    </row>
    <row r="7" spans="1:7" x14ac:dyDescent="0.3">
      <c r="A7" s="30" t="s">
        <v>483</v>
      </c>
      <c r="B7" s="62">
        <v>159800.59</v>
      </c>
      <c r="C7" s="30" t="s">
        <v>480</v>
      </c>
      <c r="D7" s="30" t="s">
        <v>484</v>
      </c>
      <c r="F7" s="10" t="s">
        <v>189</v>
      </c>
      <c r="G7" s="10" t="s">
        <v>331</v>
      </c>
    </row>
    <row r="8" spans="1:7" x14ac:dyDescent="0.3">
      <c r="A8" s="30" t="s">
        <v>485</v>
      </c>
      <c r="B8" s="62">
        <v>0</v>
      </c>
      <c r="C8" s="30" t="s">
        <v>486</v>
      </c>
      <c r="D8" s="30" t="s">
        <v>487</v>
      </c>
      <c r="F8" t="str">
        <f t="shared" ref="F8:G13" si="0">A14</f>
        <v>Caixa PJ</v>
      </c>
      <c r="G8" s="20">
        <f t="shared" si="0"/>
        <v>36946.959999999999</v>
      </c>
    </row>
    <row r="9" spans="1:7" x14ac:dyDescent="0.3">
      <c r="A9" s="30" t="s">
        <v>488</v>
      </c>
      <c r="B9" s="62">
        <v>0</v>
      </c>
      <c r="C9" s="30" t="s">
        <v>489</v>
      </c>
      <c r="D9" s="30" t="s">
        <v>487</v>
      </c>
      <c r="F9" t="str">
        <f t="shared" si="0"/>
        <v>Nubank PF</v>
      </c>
      <c r="G9" s="20">
        <f t="shared" si="0"/>
        <v>26974</v>
      </c>
    </row>
    <row r="10" spans="1:7" x14ac:dyDescent="0.3">
      <c r="A10" s="26" t="s">
        <v>490</v>
      </c>
      <c r="B10" s="53">
        <f>SUM(B6:B9)</f>
        <v>807191.92999999993</v>
      </c>
      <c r="F10" t="str">
        <f t="shared" si="0"/>
        <v>Mercado Pago</v>
      </c>
      <c r="G10" s="20">
        <f t="shared" si="0"/>
        <v>20988.81</v>
      </c>
    </row>
    <row r="11" spans="1:7" x14ac:dyDescent="0.3">
      <c r="F11" t="str">
        <f t="shared" si="0"/>
        <v>Caixa PF</v>
      </c>
      <c r="G11" s="20">
        <f t="shared" si="0"/>
        <v>6540.19</v>
      </c>
    </row>
    <row r="12" spans="1:7" ht="17.399999999999999" x14ac:dyDescent="0.35">
      <c r="A12" s="1" t="s">
        <v>491</v>
      </c>
      <c r="F12" t="str">
        <f t="shared" si="0"/>
        <v>Itaú PF (3)</v>
      </c>
      <c r="G12" s="20">
        <f t="shared" si="0"/>
        <v>22275.19</v>
      </c>
    </row>
    <row r="13" spans="1:7" x14ac:dyDescent="0.3">
      <c r="A13" s="10" t="s">
        <v>189</v>
      </c>
      <c r="B13" s="10" t="s">
        <v>331</v>
      </c>
      <c r="C13" s="10" t="s">
        <v>135</v>
      </c>
      <c r="D13" s="10" t="s">
        <v>229</v>
      </c>
      <c r="F13" t="str">
        <f t="shared" si="0"/>
        <v>Cartões (parcelas futuras)</v>
      </c>
      <c r="G13" s="20">
        <f t="shared" si="0"/>
        <v>52863.920000000013</v>
      </c>
    </row>
    <row r="14" spans="1:7" x14ac:dyDescent="0.3">
      <c r="A14" s="30" t="s">
        <v>349</v>
      </c>
      <c r="B14" s="31">
        <f>Emprestimos!B14</f>
        <v>36946.959999999999</v>
      </c>
      <c r="C14" s="30" t="s">
        <v>97</v>
      </c>
      <c r="D14" s="30" t="s">
        <v>492</v>
      </c>
    </row>
    <row r="15" spans="1:7" x14ac:dyDescent="0.3">
      <c r="A15" s="30" t="s">
        <v>453</v>
      </c>
      <c r="B15" s="31">
        <f>Emprestimos!B6</f>
        <v>26974</v>
      </c>
      <c r="C15" s="30" t="s">
        <v>97</v>
      </c>
      <c r="D15" s="30"/>
    </row>
    <row r="16" spans="1:7" x14ac:dyDescent="0.3">
      <c r="A16" s="30" t="s">
        <v>352</v>
      </c>
      <c r="B16" s="31">
        <f>Emprestimos!B15</f>
        <v>20988.81</v>
      </c>
      <c r="C16" s="30" t="s">
        <v>97</v>
      </c>
      <c r="D16" s="30" t="s">
        <v>493</v>
      </c>
    </row>
    <row r="17" spans="1:4" x14ac:dyDescent="0.3">
      <c r="A17" s="30" t="s">
        <v>354</v>
      </c>
      <c r="B17" s="31">
        <f>Emprestimos!B16</f>
        <v>6540.19</v>
      </c>
      <c r="C17" s="30" t="s">
        <v>97</v>
      </c>
      <c r="D17" s="30" t="s">
        <v>494</v>
      </c>
    </row>
    <row r="18" spans="1:4" x14ac:dyDescent="0.3">
      <c r="A18" s="30" t="s">
        <v>455</v>
      </c>
      <c r="B18" s="31">
        <f>Emprestimos!B7+Emprestimos!B8+Emprestimos!B9</f>
        <v>22275.19</v>
      </c>
      <c r="C18" s="30" t="s">
        <v>97</v>
      </c>
      <c r="D18" s="30"/>
    </row>
    <row r="19" spans="1:4" x14ac:dyDescent="0.3">
      <c r="A19" s="30" t="s">
        <v>495</v>
      </c>
      <c r="B19" s="31">
        <f>Cartoes!V3</f>
        <v>52863.920000000013</v>
      </c>
      <c r="C19" s="30" t="s">
        <v>384</v>
      </c>
      <c r="D19" s="30" t="s">
        <v>496</v>
      </c>
    </row>
    <row r="20" spans="1:4" x14ac:dyDescent="0.3">
      <c r="A20" s="30" t="s">
        <v>356</v>
      </c>
      <c r="B20" s="31">
        <f>Emprestimos!B17</f>
        <v>0</v>
      </c>
      <c r="C20" s="30" t="s">
        <v>97</v>
      </c>
      <c r="D20" s="30" t="s">
        <v>357</v>
      </c>
    </row>
    <row r="21" spans="1:4" x14ac:dyDescent="0.3">
      <c r="A21" s="23" t="s">
        <v>497</v>
      </c>
      <c r="B21" s="73">
        <f>SUM(B14:B20)</f>
        <v>166589.07</v>
      </c>
    </row>
    <row r="23" spans="1:4" ht="17.399999999999999" x14ac:dyDescent="0.35">
      <c r="A23" s="1" t="s">
        <v>498</v>
      </c>
    </row>
    <row r="24" spans="1:4" x14ac:dyDescent="0.3">
      <c r="A24" s="11" t="s">
        <v>499</v>
      </c>
      <c r="B24" s="12">
        <f>Emprestimos!B24</f>
        <v>83277.3</v>
      </c>
    </row>
    <row r="26" spans="1:4" ht="17.399999999999999" x14ac:dyDescent="0.35">
      <c r="A26" s="1" t="s">
        <v>500</v>
      </c>
    </row>
    <row r="27" spans="1:4" ht="23.4" x14ac:dyDescent="0.45">
      <c r="A27" s="46" t="s">
        <v>501</v>
      </c>
      <c r="B27" s="74">
        <f>B10-B21</f>
        <v>640602.85999999987</v>
      </c>
    </row>
    <row r="28" spans="1:4" ht="23.4" x14ac:dyDescent="0.45">
      <c r="A28" s="25" t="s">
        <v>502</v>
      </c>
      <c r="B28" s="57">
        <f>B10-B21-B24</f>
        <v>557325.55999999982</v>
      </c>
    </row>
    <row r="30" spans="1:4" ht="17.399999999999999" x14ac:dyDescent="0.35">
      <c r="A30" s="1" t="s">
        <v>503</v>
      </c>
    </row>
    <row r="31" spans="1:4" x14ac:dyDescent="0.3">
      <c r="A31" s="11" t="s">
        <v>504</v>
      </c>
      <c r="B31" s="19">
        <v>350000</v>
      </c>
    </row>
    <row r="32" spans="1:4" x14ac:dyDescent="0.3">
      <c r="A32" s="11" t="s">
        <v>505</v>
      </c>
      <c r="B32" s="12">
        <f>B6</f>
        <v>647391.34</v>
      </c>
    </row>
    <row r="33" spans="1:2" x14ac:dyDescent="0.3">
      <c r="A33" s="11" t="s">
        <v>506</v>
      </c>
      <c r="B33" s="19">
        <v>70000</v>
      </c>
    </row>
    <row r="34" spans="1:2" x14ac:dyDescent="0.3">
      <c r="A34" s="11" t="s">
        <v>507</v>
      </c>
      <c r="B34" s="12">
        <f>MAX(0,B33-B8-B9)</f>
        <v>70000</v>
      </c>
    </row>
    <row r="35" spans="1:2" x14ac:dyDescent="0.3">
      <c r="A35" s="11" t="s">
        <v>508</v>
      </c>
      <c r="B35" s="11" t="s">
        <v>509</v>
      </c>
    </row>
    <row r="37" spans="1:2" x14ac:dyDescent="0.3">
      <c r="A37" s="2" t="s">
        <v>510</v>
      </c>
    </row>
  </sheetData>
  <mergeCells count="1">
    <mergeCell ref="A1:D1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5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0" customWidth="1"/>
    <col min="2" max="4" width="20" customWidth="1"/>
    <col min="5" max="5" width="18" customWidth="1"/>
    <col min="6" max="6" width="12" customWidth="1"/>
    <col min="7" max="7" width="42" customWidth="1"/>
    <col min="8" max="8" width="12" customWidth="1"/>
    <col min="11" max="11" width="13" customWidth="1"/>
  </cols>
  <sheetData>
    <row r="1" spans="1:11" ht="21" x14ac:dyDescent="0.4">
      <c r="A1" s="81" t="s">
        <v>511</v>
      </c>
      <c r="B1" s="80"/>
      <c r="C1" s="80"/>
      <c r="D1" s="80"/>
      <c r="E1" s="80"/>
      <c r="F1" s="80"/>
    </row>
    <row r="2" spans="1:11" x14ac:dyDescent="0.3">
      <c r="A2" s="2" t="s">
        <v>512</v>
      </c>
      <c r="J2" t="s">
        <v>513</v>
      </c>
      <c r="K2" s="75">
        <f>E17</f>
        <v>0.68506801987375532</v>
      </c>
    </row>
    <row r="4" spans="1:11" ht="28.8" x14ac:dyDescent="0.3">
      <c r="A4" s="10" t="s">
        <v>56</v>
      </c>
      <c r="B4" s="10" t="s">
        <v>514</v>
      </c>
      <c r="C4" s="10" t="s">
        <v>515</v>
      </c>
      <c r="D4" s="10" t="s">
        <v>331</v>
      </c>
      <c r="E4" s="10" t="s">
        <v>516</v>
      </c>
      <c r="F4" s="10" t="s">
        <v>368</v>
      </c>
      <c r="G4" s="10" t="s">
        <v>229</v>
      </c>
    </row>
    <row r="5" spans="1:11" x14ac:dyDescent="0.3">
      <c r="A5" s="29" t="s">
        <v>58</v>
      </c>
      <c r="B5" s="62">
        <v>17895</v>
      </c>
      <c r="C5" s="62">
        <v>18097</v>
      </c>
      <c r="D5" s="31">
        <f t="shared" ref="D5:D16" si="0">C5-B5</f>
        <v>202</v>
      </c>
      <c r="E5" s="76">
        <f t="shared" ref="E5:E16" si="1">IF(C5=0,0,B5/C5)</f>
        <v>0.98883792893849809</v>
      </c>
      <c r="F5" s="29" t="str">
        <f t="shared" ref="F5:F16" si="2">IF(D5&lt;0,"Déficit",IF(D5&lt;500,"Apertado","Superávit"))</f>
        <v>Apertado</v>
      </c>
      <c r="G5" s="30" t="s">
        <v>517</v>
      </c>
    </row>
    <row r="6" spans="1:11" x14ac:dyDescent="0.3">
      <c r="A6" s="29" t="s">
        <v>59</v>
      </c>
      <c r="B6" s="62">
        <v>20871</v>
      </c>
      <c r="C6" s="62">
        <v>18097</v>
      </c>
      <c r="D6" s="31">
        <f t="shared" si="0"/>
        <v>-2774</v>
      </c>
      <c r="E6" s="76">
        <f t="shared" si="1"/>
        <v>1.1532850748742887</v>
      </c>
      <c r="F6" s="29" t="str">
        <f t="shared" si="2"/>
        <v>Déficit</v>
      </c>
      <c r="G6" s="30" t="s">
        <v>518</v>
      </c>
    </row>
    <row r="7" spans="1:11" x14ac:dyDescent="0.3">
      <c r="A7" s="29" t="s">
        <v>60</v>
      </c>
      <c r="B7" s="62">
        <v>18153</v>
      </c>
      <c r="C7" s="62">
        <v>18097</v>
      </c>
      <c r="D7" s="31">
        <f t="shared" si="0"/>
        <v>-56</v>
      </c>
      <c r="E7" s="76">
        <f t="shared" si="1"/>
        <v>1.0030944355418026</v>
      </c>
      <c r="F7" s="29" t="str">
        <f t="shared" si="2"/>
        <v>Déficit</v>
      </c>
      <c r="G7" s="30" t="s">
        <v>519</v>
      </c>
    </row>
    <row r="8" spans="1:11" x14ac:dyDescent="0.3">
      <c r="A8" s="29" t="s">
        <v>61</v>
      </c>
      <c r="B8" s="62">
        <v>19281</v>
      </c>
      <c r="C8" s="62">
        <v>18097</v>
      </c>
      <c r="D8" s="31">
        <f t="shared" si="0"/>
        <v>-1184</v>
      </c>
      <c r="E8" s="76">
        <f t="shared" si="1"/>
        <v>1.0654252085981102</v>
      </c>
      <c r="F8" s="29" t="str">
        <f t="shared" si="2"/>
        <v>Déficit</v>
      </c>
      <c r="G8" s="30" t="s">
        <v>520</v>
      </c>
    </row>
    <row r="9" spans="1:11" x14ac:dyDescent="0.3">
      <c r="A9" s="29" t="s">
        <v>62</v>
      </c>
      <c r="B9" s="62">
        <v>13313</v>
      </c>
      <c r="C9" s="62">
        <v>21432.84</v>
      </c>
      <c r="D9" s="31">
        <f t="shared" si="0"/>
        <v>8119.84</v>
      </c>
      <c r="E9" s="76">
        <f t="shared" si="1"/>
        <v>0.62114960033294697</v>
      </c>
      <c r="F9" s="29" t="str">
        <f t="shared" si="2"/>
        <v>Superávit</v>
      </c>
      <c r="G9" s="30" t="s">
        <v>521</v>
      </c>
    </row>
    <row r="10" spans="1:11" x14ac:dyDescent="0.3">
      <c r="A10" s="29" t="s">
        <v>63</v>
      </c>
      <c r="B10" s="62">
        <v>12813</v>
      </c>
      <c r="C10" s="62">
        <v>19973.599999999999</v>
      </c>
      <c r="D10" s="31">
        <f t="shared" si="0"/>
        <v>7160.5999999999985</v>
      </c>
      <c r="E10" s="76">
        <f t="shared" si="1"/>
        <v>0.64149677574398212</v>
      </c>
      <c r="F10" s="29" t="str">
        <f t="shared" si="2"/>
        <v>Superávit</v>
      </c>
      <c r="G10" s="30" t="s">
        <v>522</v>
      </c>
    </row>
    <row r="11" spans="1:11" x14ac:dyDescent="0.3">
      <c r="A11" s="29" t="s">
        <v>64</v>
      </c>
      <c r="B11" s="62">
        <v>12477</v>
      </c>
      <c r="C11" s="62">
        <v>18097</v>
      </c>
      <c r="D11" s="31">
        <f t="shared" si="0"/>
        <v>5620</v>
      </c>
      <c r="E11" s="76">
        <f t="shared" si="1"/>
        <v>0.68945129026910534</v>
      </c>
      <c r="F11" s="29" t="str">
        <f t="shared" si="2"/>
        <v>Superávit</v>
      </c>
      <c r="G11" s="30" t="s">
        <v>523</v>
      </c>
    </row>
    <row r="12" spans="1:11" x14ac:dyDescent="0.3">
      <c r="A12" s="29" t="s">
        <v>65</v>
      </c>
      <c r="B12" s="62">
        <v>8026</v>
      </c>
      <c r="C12" s="62">
        <v>18097</v>
      </c>
      <c r="D12" s="31">
        <f t="shared" si="0"/>
        <v>10071</v>
      </c>
      <c r="E12" s="76">
        <f t="shared" si="1"/>
        <v>0.44349892247333811</v>
      </c>
      <c r="F12" s="29" t="str">
        <f t="shared" si="2"/>
        <v>Superávit</v>
      </c>
      <c r="G12" s="30" t="s">
        <v>524</v>
      </c>
    </row>
    <row r="13" spans="1:11" x14ac:dyDescent="0.3">
      <c r="A13" s="29" t="s">
        <v>66</v>
      </c>
      <c r="B13" s="62">
        <v>8026</v>
      </c>
      <c r="C13" s="62">
        <v>18097</v>
      </c>
      <c r="D13" s="31">
        <f t="shared" si="0"/>
        <v>10071</v>
      </c>
      <c r="E13" s="76">
        <f t="shared" si="1"/>
        <v>0.44349892247333811</v>
      </c>
      <c r="F13" s="29" t="str">
        <f t="shared" si="2"/>
        <v>Superávit</v>
      </c>
      <c r="G13" s="30" t="s">
        <v>523</v>
      </c>
    </row>
    <row r="14" spans="1:11" x14ac:dyDescent="0.3">
      <c r="A14" s="29" t="s">
        <v>67</v>
      </c>
      <c r="B14" s="62">
        <v>7779</v>
      </c>
      <c r="C14" s="62">
        <v>18097</v>
      </c>
      <c r="D14" s="31">
        <f t="shared" si="0"/>
        <v>10318</v>
      </c>
      <c r="E14" s="76">
        <f t="shared" si="1"/>
        <v>0.4298502514228878</v>
      </c>
      <c r="F14" s="29" t="str">
        <f t="shared" si="2"/>
        <v>Superávit</v>
      </c>
      <c r="G14" s="30" t="s">
        <v>523</v>
      </c>
    </row>
    <row r="15" spans="1:11" x14ac:dyDescent="0.3">
      <c r="A15" s="29" t="s">
        <v>68</v>
      </c>
      <c r="B15" s="62">
        <v>7407</v>
      </c>
      <c r="C15" s="62">
        <v>18097</v>
      </c>
      <c r="D15" s="31">
        <f t="shared" si="0"/>
        <v>10690</v>
      </c>
      <c r="E15" s="76">
        <f t="shared" si="1"/>
        <v>0.40929435818091398</v>
      </c>
      <c r="F15" s="29" t="str">
        <f t="shared" si="2"/>
        <v>Superávit</v>
      </c>
      <c r="G15" s="30" t="s">
        <v>523</v>
      </c>
    </row>
    <row r="16" spans="1:11" x14ac:dyDescent="0.3">
      <c r="A16" s="29" t="s">
        <v>69</v>
      </c>
      <c r="B16" s="62">
        <v>6007</v>
      </c>
      <c r="C16" s="62">
        <v>18097</v>
      </c>
      <c r="D16" s="31">
        <f t="shared" si="0"/>
        <v>12090</v>
      </c>
      <c r="E16" s="76">
        <f t="shared" si="1"/>
        <v>0.33193346963585124</v>
      </c>
      <c r="F16" s="29" t="str">
        <f t="shared" si="2"/>
        <v>Superávit</v>
      </c>
      <c r="G16" s="30" t="s">
        <v>523</v>
      </c>
    </row>
    <row r="17" spans="1:6" x14ac:dyDescent="0.3">
      <c r="A17" s="39" t="s">
        <v>525</v>
      </c>
      <c r="B17" s="41">
        <f>SUM(B5:B16)</f>
        <v>152048</v>
      </c>
      <c r="C17" s="41">
        <f>SUM(C5:C16)</f>
        <v>222376.44</v>
      </c>
      <c r="D17" s="41">
        <f>SUM(D5:D16)</f>
        <v>70328.44</v>
      </c>
      <c r="E17" s="77">
        <f>AVERAGE(E5:E16)</f>
        <v>0.68506801987375532</v>
      </c>
      <c r="F17" s="39"/>
    </row>
    <row r="19" spans="1:6" x14ac:dyDescent="0.3">
      <c r="A19" s="3" t="s">
        <v>526</v>
      </c>
      <c r="B19" s="20">
        <f>Cartoes!V2</f>
        <v>16184.16</v>
      </c>
    </row>
    <row r="20" spans="1:6" ht="23.4" x14ac:dyDescent="0.45">
      <c r="A20" t="s">
        <v>527</v>
      </c>
      <c r="B20" s="78">
        <f>E17</f>
        <v>0.68506801987375532</v>
      </c>
    </row>
    <row r="22" spans="1:6" ht="17.399999999999999" x14ac:dyDescent="0.35">
      <c r="A22" s="1" t="s">
        <v>528</v>
      </c>
    </row>
    <row r="23" spans="1:6" x14ac:dyDescent="0.3">
      <c r="A23" s="11" t="s">
        <v>529</v>
      </c>
      <c r="B23" s="19">
        <v>3335.84</v>
      </c>
      <c r="C23" t="s">
        <v>530</v>
      </c>
    </row>
    <row r="24" spans="1:6" x14ac:dyDescent="0.3">
      <c r="A24" s="11" t="s">
        <v>531</v>
      </c>
      <c r="B24" s="19">
        <v>1876.6</v>
      </c>
      <c r="C24" t="s">
        <v>532</v>
      </c>
    </row>
    <row r="25" spans="1:6" x14ac:dyDescent="0.3">
      <c r="A25" s="26" t="s">
        <v>533</v>
      </c>
      <c r="B25" s="53">
        <f>B23+B24</f>
        <v>5212.4400000000005</v>
      </c>
    </row>
  </sheetData>
  <mergeCells count="1">
    <mergeCell ref="A1:F1"/>
  </mergeCells>
  <conditionalFormatting sqref="D5:D16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Inicio</vt:lpstr>
      <vt:lpstr>Dashboard</vt:lpstr>
      <vt:lpstr>Agenda</vt:lpstr>
      <vt:lpstr>Contas_Ago_Jan</vt:lpstr>
      <vt:lpstr>Cenarios</vt:lpstr>
      <vt:lpstr>Fluxo_Diario</vt:lpstr>
      <vt:lpstr>Fixos</vt:lpstr>
      <vt:lpstr>Emprestimos</vt:lpstr>
      <vt:lpstr>Cartoes</vt:lpstr>
      <vt:lpstr>Dash_Cartoes</vt:lpstr>
      <vt:lpstr>Prioridades</vt:lpstr>
      <vt:lpstr>Ranking</vt:lpstr>
      <vt:lpstr>Simulador</vt:lpstr>
      <vt:lpstr>Patrimonio</vt:lpstr>
      <vt:lpstr>Projecao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illipronti</cp:lastModifiedBy>
  <dcterms:created xsi:type="dcterms:W3CDTF">2026-07-15T14:04:52Z</dcterms:created>
  <dcterms:modified xsi:type="dcterms:W3CDTF">2026-08-03T17:16:04Z</dcterms:modified>
</cp:coreProperties>
</file>